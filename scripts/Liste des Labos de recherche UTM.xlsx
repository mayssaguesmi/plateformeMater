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esktop\IMENE\PROJETS\UTM\"/>
    </mc:Choice>
  </mc:AlternateContent>
  <xr:revisionPtr revIDLastSave="0" documentId="8_{16B1F7EB-DC09-428C-98DC-E275BBDFF91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Laboratoires_de_Recherche" sheetId="1" r:id="rId1"/>
  </sheets>
  <definedNames>
    <definedName name="_xlnm._FilterDatabase" localSheetId="0" hidden="1">Laboratoires_de_Recherche!$M$1:$M$112</definedName>
    <definedName name="Excel_BuiltIn_Print_Area_3_1">#REF!</definedName>
    <definedName name="Excel_BuiltIn_Print_Area_4_1">#REF!</definedName>
    <definedName name="_xlnm.Print_Titles" localSheetId="0">Laboratoires_de_Recherche!$5:$5</definedName>
    <definedName name="_xlnm.Print_Area" localSheetId="0">Laboratoires_de_Recherche!$A$1:$R$114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95" i="1" l="1"/>
  <c r="B96" i="1"/>
  <c r="B97" i="1"/>
  <c r="B98" i="1"/>
  <c r="B99" i="1"/>
  <c r="B100" i="1"/>
  <c r="B101" i="1"/>
  <c r="B102" i="1"/>
  <c r="B103" i="1"/>
  <c r="B107" i="1"/>
  <c r="B108" i="1"/>
  <c r="B109" i="1"/>
  <c r="B110" i="1"/>
  <c r="B111" i="1"/>
  <c r="B87" i="1"/>
  <c r="B92" i="1"/>
  <c r="B34" i="1"/>
  <c r="B36" i="1"/>
  <c r="B37" i="1"/>
  <c r="B38" i="1"/>
  <c r="B39" i="1"/>
  <c r="B40" i="1"/>
  <c r="B24" i="1"/>
  <c r="B25" i="1"/>
  <c r="B26" i="1"/>
  <c r="B27" i="1"/>
  <c r="B28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32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112" i="1"/>
  <c r="B113" i="1"/>
  <c r="A21" i="1"/>
  <c r="A23" i="1"/>
  <c r="A24" i="1"/>
  <c r="A25" i="1"/>
  <c r="A26" i="1"/>
  <c r="A27" i="1"/>
  <c r="A32" i="1"/>
  <c r="A33" i="1"/>
  <c r="A34" i="1"/>
  <c r="A35" i="1"/>
  <c r="A36" i="1"/>
  <c r="A37" i="1"/>
  <c r="A38" i="1"/>
  <c r="A39" i="1"/>
  <c r="A40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28" i="1"/>
  <c r="A78" i="1"/>
  <c r="A79" i="1"/>
  <c r="A80" i="1"/>
  <c r="A81" i="1"/>
  <c r="A82" i="1"/>
  <c r="A83" i="1"/>
  <c r="A84" i="1"/>
  <c r="A86" i="1"/>
  <c r="A87" i="1"/>
  <c r="A89" i="1"/>
  <c r="A91" i="1"/>
  <c r="A92" i="1"/>
  <c r="A94" i="1"/>
  <c r="A95" i="1"/>
  <c r="A96" i="1"/>
  <c r="A97" i="1"/>
  <c r="A98" i="1"/>
  <c r="A99" i="1"/>
  <c r="A100" i="1"/>
  <c r="A101" i="1"/>
  <c r="A102" i="1"/>
  <c r="A106" i="1"/>
  <c r="A107" i="1"/>
  <c r="A108" i="1"/>
  <c r="A109" i="1"/>
  <c r="A110" i="1"/>
  <c r="A111" i="1"/>
  <c r="A112" i="1"/>
  <c r="A113" i="1"/>
  <c r="A103" i="1"/>
</calcChain>
</file>

<file path=xl/sharedStrings.xml><?xml version="1.0" encoding="utf-8"?>
<sst xmlns="http://schemas.openxmlformats.org/spreadsheetml/2006/main" count="1035" uniqueCount="636">
  <si>
    <t>Laboratoires de Recherche</t>
  </si>
  <si>
    <t>N°</t>
  </si>
  <si>
    <t>N°/Etab</t>
  </si>
  <si>
    <t>Etab</t>
  </si>
  <si>
    <t>Discipline</t>
  </si>
  <si>
    <t>Dénomination</t>
  </si>
  <si>
    <t>Code</t>
  </si>
  <si>
    <t>Nom du responsable</t>
  </si>
  <si>
    <t>Email</t>
  </si>
  <si>
    <t>Tél.</t>
  </si>
  <si>
    <t>GSM</t>
  </si>
  <si>
    <t>Fax</t>
  </si>
  <si>
    <t>Etablissement</t>
  </si>
  <si>
    <t>Site web</t>
  </si>
  <si>
    <t>ENIT</t>
  </si>
  <si>
    <t>LR</t>
  </si>
  <si>
    <t>Sciences et Techniques de l'Ingénieur</t>
  </si>
  <si>
    <t xml:space="preserve">Modélisation en hydraulique et environnement </t>
  </si>
  <si>
    <t>LR99ES19</t>
  </si>
  <si>
    <t>Ecole Nationale d'Ingénieurs de Tunis</t>
  </si>
  <si>
    <t>http://www.enit.rnu.tn/recherche</t>
  </si>
  <si>
    <t>Modélisation mathématique et numérique dans les sciences de l’ingénieur</t>
  </si>
  <si>
    <t>LR99ES20</t>
  </si>
  <si>
    <t xml:space="preserve">Systèmes de Communications </t>
  </si>
  <si>
    <t>LR99ES21</t>
  </si>
  <si>
    <t>AGUILI Taoufik</t>
  </si>
  <si>
    <t>taoufik.aguili@enit.rnu.tn, taoufik.aguili@gmail.com</t>
  </si>
  <si>
    <t xml:space="preserve">Génie civil </t>
  </si>
  <si>
    <t>LR03ES05</t>
  </si>
  <si>
    <t xml:space="preserve">Systèmes Electriques </t>
  </si>
  <si>
    <t>LR11ES15</t>
  </si>
  <si>
    <t>Matériaux, Optimisation et Energie pour la Durabilité</t>
  </si>
  <si>
    <t>LR11ES16</t>
  </si>
  <si>
    <t>Signal, Images et Technologies de l’Information</t>
  </si>
  <si>
    <t>LR11ES17</t>
  </si>
  <si>
    <t xml:space="preserve">Automatique </t>
  </si>
  <si>
    <t>LR11ES18</t>
  </si>
  <si>
    <t>Mécanique Appliquée et Ingénierie</t>
  </si>
  <si>
    <t>LR11ES19</t>
  </si>
  <si>
    <t>Analyse, Conception et Commande des Systèmes</t>
  </si>
  <si>
    <t>LR11ES20</t>
  </si>
  <si>
    <t>Ingénierie Géotechnique</t>
  </si>
  <si>
    <t>FDSPT</t>
  </si>
  <si>
    <t>Sciences Juridiques</t>
  </si>
  <si>
    <t>Droit des relations internationales, des marchés et des négociations (DRIMAN)</t>
  </si>
  <si>
    <t>LR05ES02</t>
  </si>
  <si>
    <t>Faculté de Droit et des Sciences Politiques de Tunis</t>
  </si>
  <si>
    <t>http://www.urdri.fdspt.rnu.tn/</t>
  </si>
  <si>
    <t>Sciences constitutionnelles, administratives et financières</t>
  </si>
  <si>
    <t>LR11ES05</t>
  </si>
  <si>
    <t>Règlement des litiges et voies d'exécution</t>
  </si>
  <si>
    <t>LR11ES06</t>
  </si>
  <si>
    <t>Sciences Juridiques et Politiques</t>
  </si>
  <si>
    <t>ISTMT</t>
  </si>
  <si>
    <t>Sciences de la Santé</t>
  </si>
  <si>
    <t>Biophysique et Technologies Médicales</t>
  </si>
  <si>
    <t>LR13ES07</t>
  </si>
  <si>
    <t>MAHJOUBI Halima</t>
  </si>
  <si>
    <t>Institut Supérieur des Sciences Biologiques Appliquées de Tunis</t>
  </si>
  <si>
    <t>FSEGT</t>
  </si>
  <si>
    <t>Sciences Economiques et de Gestion</t>
  </si>
  <si>
    <t>Intégration économique internationaleroduction Scientifique</t>
  </si>
  <si>
    <t>LR99ES06</t>
  </si>
  <si>
    <t>Faculté des Sciences Economiques et de Gestion de Tunis</t>
  </si>
  <si>
    <t>Economie Quantitative du Développement</t>
  </si>
  <si>
    <t>Prospective, stratégie et développement durable</t>
  </si>
  <si>
    <t>LR05ES03</t>
  </si>
  <si>
    <t>Entreprises et Recherche en Marketing</t>
  </si>
  <si>
    <t>LR11ES07</t>
  </si>
  <si>
    <t>SAID BEN RACHED Kaouther</t>
  </si>
  <si>
    <t>Microéconomie appliquée (LARMA)</t>
  </si>
  <si>
    <t>LR11ES08</t>
  </si>
  <si>
    <t>Sciences Biologiques</t>
  </si>
  <si>
    <t>Génétique moléculaire, immunologie et biotechnologie</t>
  </si>
  <si>
    <t>LR99ES12</t>
  </si>
  <si>
    <t>Faculté des Sciences Mathématiques, Physiques et Naturelles de Tunis</t>
  </si>
  <si>
    <t>Physique</t>
  </si>
  <si>
    <t>Physique de la matière condensée</t>
  </si>
  <si>
    <t>LR99ES13</t>
  </si>
  <si>
    <t>Chimie</t>
  </si>
  <si>
    <t>Chimie organique structurale: synthèse et études physico-chimiques</t>
  </si>
  <si>
    <t>LR99ES14</t>
  </si>
  <si>
    <t xml:space="preserve">Chimie analytique et électrochimie </t>
  </si>
  <si>
    <t>LR99ES15</t>
  </si>
  <si>
    <t>Physique de la matière molle</t>
  </si>
  <si>
    <t>LR99ES16</t>
  </si>
  <si>
    <t>Matériaux, organisation et propriétés</t>
  </si>
  <si>
    <t>LR99ES17</t>
  </si>
  <si>
    <t>Biochimie et Technobiologie</t>
  </si>
  <si>
    <t>LR01ES05</t>
  </si>
  <si>
    <t>Sciences de la Terre</t>
  </si>
  <si>
    <t>Ressources Minérales et Environnement</t>
  </si>
  <si>
    <t>LR01ES06</t>
  </si>
  <si>
    <t>Energétique et Transferts Thermique et Massique (LETTM)</t>
  </si>
  <si>
    <t>LR01ES07</t>
  </si>
  <si>
    <t>Chimie des Matériaux et catalyse</t>
  </si>
  <si>
    <t>LR01ES08</t>
  </si>
  <si>
    <t>KSIBI Zouhair</t>
  </si>
  <si>
    <t>ksibizouhaier@yahoo.fr</t>
  </si>
  <si>
    <t>Spectroscopie atomique et moléculaire et applications</t>
  </si>
  <si>
    <t>LR01ES09</t>
  </si>
  <si>
    <t>Microorganismes et Biomolécules Actives</t>
  </si>
  <si>
    <t>LR03ES03</t>
  </si>
  <si>
    <t>Mathématiques</t>
  </si>
  <si>
    <t>Equations aux dérivés partielles</t>
  </si>
  <si>
    <t>LR03ES04</t>
  </si>
  <si>
    <t>Génétique, Immunologie et Pathologies Humaines</t>
  </si>
  <si>
    <t>LR05ES05</t>
  </si>
  <si>
    <t>Biodiversité,biotechnologie et changements climatiques</t>
  </si>
  <si>
    <t>LR11ES09</t>
  </si>
  <si>
    <t>71872600 (poste 339)</t>
  </si>
  <si>
    <t>Matériaux avancés et phénomènes quantiques</t>
  </si>
  <si>
    <t>LR11ES10</t>
  </si>
  <si>
    <t>Analyse Mathématiques et applications</t>
  </si>
  <si>
    <t>LR11ES11</t>
  </si>
  <si>
    <t>Algèbre, topologie, arithmétique et ordre</t>
  </si>
  <si>
    <t>LR11ES12</t>
  </si>
  <si>
    <t>Analyse stochastique et applications</t>
  </si>
  <si>
    <t>LR11ES13</t>
  </si>
  <si>
    <t>Informatique</t>
  </si>
  <si>
    <t>Informatique en Programmation Algorithmique et Heuristique (LIPAH)</t>
  </si>
  <si>
    <t>LR11ES14</t>
  </si>
  <si>
    <t xml:space="preserve">Analyse harmonique et fonctions spéciales </t>
  </si>
  <si>
    <t>ISSHT</t>
  </si>
  <si>
    <t>Sciences Humaines : Philosophie</t>
  </si>
  <si>
    <t>Institut Supérieur des Sciences Humaines de Tunis</t>
  </si>
  <si>
    <t>FMT</t>
  </si>
  <si>
    <t>Neuropathologie et Neurobiologie moléculaire</t>
  </si>
  <si>
    <t>LR99ES08</t>
  </si>
  <si>
    <t>Faculté de Médecine de Tunis</t>
  </si>
  <si>
    <t>Résistance aux antibiotiques</t>
  </si>
  <si>
    <t>LR99ES09</t>
  </si>
  <si>
    <t>Génétique humaine</t>
  </si>
  <si>
    <t>LR99ES10</t>
  </si>
  <si>
    <t>Biochimie clinique</t>
  </si>
  <si>
    <t>LR99ES11</t>
  </si>
  <si>
    <t>71561912/71570506</t>
  </si>
  <si>
    <t>Epidémiologie et Prévention des Maladies Cardiovasculaires en Tunisie</t>
  </si>
  <si>
    <t>LR01ES04</t>
  </si>
  <si>
    <t>71763709 / 71763710</t>
  </si>
  <si>
    <t>Chirurgie viscérale et pathologie digestive</t>
  </si>
  <si>
    <t>LR12ES01</t>
  </si>
  <si>
    <t>Université Tunis El Manar</t>
  </si>
  <si>
    <t>UR</t>
  </si>
  <si>
    <t>EL EFRIT Mohamed Lotfi</t>
  </si>
  <si>
    <t>GHARSALLAH Ali</t>
  </si>
  <si>
    <t>ISSBAT</t>
  </si>
  <si>
    <t>langue, Littérature et civilisation</t>
  </si>
  <si>
    <t>BOUANI Faouzi</t>
  </si>
  <si>
    <t>Nomination</t>
  </si>
  <si>
    <t>LR14ES03</t>
  </si>
  <si>
    <t>OBSERVATIONS</t>
  </si>
  <si>
    <t>sam55bouch@yahoo.fr</t>
  </si>
  <si>
    <t xml:space="preserve"> BOSTANJI Sami</t>
  </si>
  <si>
    <t>LR13ES06</t>
  </si>
  <si>
    <t>LR13ES04</t>
  </si>
  <si>
    <t>Recherches sur les lumières, la modernité et la diversité culturelle</t>
  </si>
  <si>
    <r>
      <t>http://www.lamsin.rnu</t>
    </r>
    <r>
      <rPr>
        <sz val="10"/>
        <rFont val="Bitstream Charter"/>
        <family val="1"/>
      </rPr>
      <t xml:space="preserve"> /  </t>
    </r>
    <r>
      <rPr>
        <sz val="10"/>
        <color indexed="12"/>
        <rFont val="Bitstream Charter"/>
        <family val="1"/>
      </rPr>
      <t>http://www.enit.rnu.tn/recherche</t>
    </r>
  </si>
  <si>
    <t xml:space="preserve">BEN AISSA Mohamed Safouane  </t>
  </si>
  <si>
    <t>Institut Supérieur des Technologies Médicales de Tunis</t>
  </si>
  <si>
    <t>Matériaux et Cristallochimie et Thermodynamique Appliquée</t>
  </si>
  <si>
    <t>LR15ES01</t>
  </si>
  <si>
    <t>AOUADI Sami</t>
  </si>
  <si>
    <t>hatem.rouatbi@gmail.com</t>
  </si>
  <si>
    <t>Recherches en Droit Civil</t>
  </si>
  <si>
    <t>98242950/ 53242950</t>
  </si>
  <si>
    <t xml:space="preserve">ROUATBI Hatem </t>
  </si>
  <si>
    <t xml:space="preserve">KHARRAT Maher </t>
  </si>
  <si>
    <t>BOUCHOUCHA Sami</t>
  </si>
  <si>
    <t>Recherches et Etudes Brachylogiques</t>
  </si>
  <si>
    <t>LR16ES04</t>
  </si>
  <si>
    <t>Mycrobiologie, Pathologies et Biomarqueurs</t>
  </si>
  <si>
    <t>LR16ES05</t>
  </si>
  <si>
    <t>SADFI ZOUAOUI Najla</t>
  </si>
  <si>
    <t xml:space="preserve">Robotique Informatique et Systèmes Complexes </t>
  </si>
  <si>
    <t>LR16ES07</t>
  </si>
  <si>
    <t>MEDIMAGH BELGHITH Safia</t>
  </si>
  <si>
    <t>ISI</t>
  </si>
  <si>
    <t>Sciences et Technologies de l'Informatrion et de la Communication</t>
  </si>
  <si>
    <t>Informatique, Modélisation et Traitement de l'Information et de la Connaissance</t>
  </si>
  <si>
    <t>LR16ES06</t>
  </si>
  <si>
    <t>ZAGROUBA Ezzedine</t>
  </si>
  <si>
    <t>Institut Supérieur d'Informatique</t>
  </si>
  <si>
    <t>TAYECHI Slim</t>
  </si>
  <si>
    <t>Finance Comptabilité Fiscalité</t>
  </si>
  <si>
    <t>71  870 277</t>
  </si>
  <si>
    <t>w.benmrad@yahoo.fr</t>
  </si>
  <si>
    <t>Jurisprudence</t>
  </si>
  <si>
    <t>AYARI Mounir</t>
  </si>
  <si>
    <t>mayari75@yahoo.fr</t>
  </si>
  <si>
    <t>Sciences et Techniques de l’Ingénieur</t>
  </si>
  <si>
    <t>Applications de l’Efficacité Energétique et des Energies Renouvelables</t>
  </si>
  <si>
    <t>MAMI Abdelkader</t>
  </si>
  <si>
    <t xml:space="preserve">71 563 709 </t>
  </si>
  <si>
    <t>Marqueurs onco-théranostiques des cancers</t>
  </si>
  <si>
    <r>
      <t>RAMMEH ROUMANI Soumaya</t>
    </r>
    <r>
      <rPr>
        <b/>
        <sz val="11"/>
        <color indexed="8"/>
        <rFont val="Calibri"/>
        <family val="2"/>
      </rPr>
      <t xml:space="preserve"> </t>
    </r>
  </si>
  <si>
    <t>DOUAGI BEN MRAD Fatma wiem</t>
  </si>
  <si>
    <t>sadfi.najla@gmail.com</t>
  </si>
  <si>
    <t>LR17ES01</t>
  </si>
  <si>
    <t>Synthèse organique sélective et hétérocyclique: Evaluation de l'activité biologique (SOSHEAB)</t>
  </si>
  <si>
    <t>medlotfi.efrit@gmail.com</t>
  </si>
  <si>
    <t>71883 422 P 237-243</t>
  </si>
  <si>
    <t>KHOUNI Mohsen</t>
  </si>
  <si>
    <t>sami.aouadi@yahoo.fr</t>
  </si>
  <si>
    <t>RAOUAFI  Noureddine</t>
  </si>
  <si>
    <t>OUZARI CHERIF Imene</t>
  </si>
  <si>
    <t>ELFEKIH Moncef</t>
  </si>
  <si>
    <t>BEN MASSOUD Kamel</t>
  </si>
  <si>
    <t>ezzeddine.zagrouba@fsm.rnu.tn;
e.zagrouba@gmail.com</t>
  </si>
  <si>
    <t>slim.tayachi@fst.rnu.tn</t>
  </si>
  <si>
    <t>kamel.benmahrez@fst.rnu.tn</t>
  </si>
  <si>
    <t>BEN MEHREZ Kamel</t>
  </si>
  <si>
    <t>ACHOUR JOUAIHIA Wafa</t>
  </si>
  <si>
    <t>sami.bostanji@fdspt.utm.tn; s.bostanji@gmail.com</t>
  </si>
  <si>
    <t>benrached.kaouther@yahoo.fr ; kaouther.said@fsegt.rnu.tn ; kaouther.benrached@fsegt.utm.tn</t>
  </si>
  <si>
    <t>safouane.benaissa@univmed.fr ; safouane.benaissa@fsegt.utm.tn</t>
  </si>
  <si>
    <t>Noureddine.Raouafi@gmail.com ; noureddine.raouafi@fst.utm.tn</t>
  </si>
  <si>
    <t>ouzari.imene@gmail.com ; imene.ouzari@fst.rnu.tn</t>
  </si>
  <si>
    <t>benmessaoud.kamel@yahoo.fr</t>
  </si>
  <si>
    <t>rammehs@yahoo.fr</t>
  </si>
  <si>
    <t>ACHIRI Zied</t>
  </si>
  <si>
    <t>cor n° 1042 du 19/02/2018</t>
  </si>
  <si>
    <t>BOURGUIBA Dorra</t>
  </si>
  <si>
    <t>wafaachour@gmail.com</t>
  </si>
  <si>
    <t>THABET MLIKI Najeh</t>
  </si>
  <si>
    <t>corep 3303 du 5/7/2018</t>
  </si>
  <si>
    <t xml:space="preserve"> BEN FREDJ ROMDHANE Amel</t>
  </si>
  <si>
    <t>dorra.bourguiba@fst.rnu.tn</t>
  </si>
  <si>
    <t>maher.kharrat@fmt.rnu.tn</t>
  </si>
  <si>
    <t>safia.belghith@enit.rnu.tn
safya.belghith@enit.utm.tn</t>
  </si>
  <si>
    <t>najeh.mliki@fst.utm.tn
naji.thabet@gmail.com</t>
  </si>
  <si>
    <t>lachiri.z@gmail.com zied.lachiri@enit.utm.tn</t>
  </si>
  <si>
    <t xml:space="preserve">faouzi.bouani@insat.rnu.tn </t>
  </si>
  <si>
    <t>amel.benfredj@fst.rnu.tn 
amel.benfredj@gmail.com</t>
  </si>
  <si>
    <t>mohsen.elkhouni@issht.utm.tn
mohsen_elkhouni@yahoo.fr</t>
  </si>
  <si>
    <t>abdelkader.mami@gmail.com
 abdelkader.mami@fst.utm.tn</t>
  </si>
  <si>
    <t>71872600/ 70684907</t>
  </si>
  <si>
    <t>LR18ES03</t>
  </si>
  <si>
    <t>KOUKI MASMOUDI Olfa</t>
  </si>
  <si>
    <t>Neurophysiologie, PhysioPathologie Cellulaire et Valorisation des BioMolécules.</t>
  </si>
  <si>
    <t>LR18ES04</t>
  </si>
  <si>
    <t>LR18ES05</t>
  </si>
  <si>
    <t>LR18ES06</t>
  </si>
  <si>
    <t>LR18ES07</t>
  </si>
  <si>
    <t>LR18ES08</t>
  </si>
  <si>
    <t>LR18ES09</t>
  </si>
  <si>
    <t>Productivité végétale et contraintes environnementales</t>
  </si>
  <si>
    <t>Biodiversité, Parasitologie et Ecologie des Ecosystèmes Aquatiques</t>
  </si>
  <si>
    <t>mas_olfa@yahoo.fr</t>
  </si>
  <si>
    <t>23 06 07 34</t>
  </si>
  <si>
    <t xml:space="preserve">NASRI AMMAR Karima </t>
  </si>
  <si>
    <t>Diversité, Gestion et Conservation des systèmes biologiques</t>
  </si>
  <si>
    <t>71 872 600 (Postes 450, 275)</t>
  </si>
  <si>
    <t>knasri@planet.tn</t>
  </si>
  <si>
    <t>Bassins Sédimentaires et Géologie du Pétrole</t>
  </si>
  <si>
    <t xml:space="preserve"> SOUSSI Mohamed</t>
  </si>
  <si>
    <t>mohsou@yahoo.fr</t>
  </si>
  <si>
    <t>Caractérisation, Applications et Modélisation de Matériaux</t>
  </si>
  <si>
    <t>aboufirasamdouni@gmail.com</t>
  </si>
  <si>
    <t>AMDOUNI Noureddine</t>
  </si>
  <si>
    <t>Modélisation mathématique, analyse harmonique et théorie du potentiel</t>
  </si>
  <si>
    <t>lakhdartannech.rachdi@fst.rnu.tn</t>
  </si>
  <si>
    <t>Laboratoire des Matériaux et de l’Environnement pour le développement durable</t>
  </si>
  <si>
    <t>LR18ES10</t>
  </si>
  <si>
    <t>BEN HASSEN Rached</t>
  </si>
  <si>
    <t>rached.benhassen@issbat.utm.tn</t>
  </si>
  <si>
    <t>LR18ES37</t>
  </si>
  <si>
    <t xml:space="preserve">LAKDHAR Rachdi </t>
  </si>
  <si>
    <t>Géodynamique, Géonumérique et Géomatériaux</t>
  </si>
  <si>
    <t>Géologie</t>
  </si>
  <si>
    <t>MICROBIOLOGIE DE L’ENFANT ET DE L’IMMUNODEPRIME</t>
  </si>
  <si>
    <t>LR18ES39</t>
  </si>
  <si>
    <t>création de LR suite à la fusion UR12ES01 et UR12 ES02  coresp 23726 du 12/10/2018</t>
  </si>
  <si>
    <t>fusion de UR11ES06 et UR11ES 09</t>
  </si>
  <si>
    <t>reconduction UR11ES11</t>
  </si>
  <si>
    <t>reconduction UR11ES19</t>
  </si>
  <si>
    <t>fusion de UR11ES22 et UR11ES23 et UR11ES24</t>
  </si>
  <si>
    <t>reconduction UR11ES25</t>
  </si>
  <si>
    <t>adel.aschi@fst.utm.tn</t>
  </si>
  <si>
    <t>Laboratoire d'électronique Microonde</t>
  </si>
  <si>
    <t>LR18ES43</t>
  </si>
  <si>
    <t>ali.gharsallah@gmail.com</t>
  </si>
  <si>
    <t>reconduction UR13ES37 coresp MES 19/10/2018 n° 23899</t>
  </si>
  <si>
    <t>LR18ES41</t>
  </si>
  <si>
    <t>التسمية</t>
  </si>
  <si>
    <t>TRABELSI  Monia</t>
  </si>
  <si>
    <t>Ecologie, Biologie et Physiologie des organismes aquatiques</t>
  </si>
  <si>
    <t>atherina2002@yahoo.fr</t>
  </si>
  <si>
    <t>العلوم البيئية والبيولوجية والفيزيولوجية للكائنات المائية</t>
  </si>
  <si>
    <t xml:space="preserve">MARRAKCHI CHARFI  Fatma </t>
  </si>
  <si>
    <t>fatma.marrakchicharfi@fsegt.utm.tn</t>
  </si>
  <si>
    <t>98306380/ 24306380</t>
  </si>
  <si>
    <t>LR19ES01</t>
  </si>
  <si>
    <t>LR19ES02</t>
  </si>
  <si>
    <t>MEGURICHE Adel</t>
  </si>
  <si>
    <t>تحلية ومعالجة المياه</t>
  </si>
  <si>
    <t>كيمياء لاعضوية تطبيقية</t>
  </si>
  <si>
    <t>reconduction UR11ES18</t>
  </si>
  <si>
    <t>70014479
70014580</t>
  </si>
  <si>
    <t>ASCHI Adel</t>
  </si>
  <si>
    <t>Dessalement et traitement des eaux</t>
  </si>
  <si>
    <t>Laboratoire de chimie minérale appliquée</t>
  </si>
  <si>
    <t>adel.megriche@fst.utm.tn</t>
  </si>
  <si>
    <t xml:space="preserve">fusion de l'unité UR11ES10 </t>
  </si>
  <si>
    <t>fusion UR13ES35 et UR13 ES36 et reconduction en LR corresp n°21091 du 7/11/2018 / fusion de UR11ES12</t>
  </si>
  <si>
    <t>reconduction UR11ES15/ fusion de UR11ES16</t>
  </si>
  <si>
    <t>à la place de Abdallah AKKARI corespondance MES N° 4418 du 30/10/2019</t>
  </si>
  <si>
    <t>fbameur@gmail,com</t>
  </si>
  <si>
    <t xml:space="preserve"> Ben AMEUR  Faycel</t>
  </si>
  <si>
    <t>Droit bancaire , financier et des affaires</t>
  </si>
  <si>
    <t>القانون البنكي والمالي  وقانون الأعمال</t>
  </si>
  <si>
    <t>LR19ES04</t>
  </si>
  <si>
    <t>BESSROUR Noureddine</t>
  </si>
  <si>
    <t>noureddinebesrour@yahoo.fr
gazdallah,m@gmail,com</t>
  </si>
  <si>
    <t>20048215
98351871</t>
  </si>
  <si>
    <t>reconduction UR11ES04 coresp MES n°4629 du 6/11/2019</t>
  </si>
  <si>
    <t>LR19ES17</t>
  </si>
  <si>
    <t>Optimisation et Analyse des systèmes industriels et de services</t>
  </si>
  <si>
    <t>الأمثلية وتحليل الأنظمة الصناعية والخدماتية</t>
  </si>
  <si>
    <t>LR19ES18</t>
  </si>
  <si>
    <t>Laboratoire Signaux et Smart Systèmes</t>
  </si>
  <si>
    <t>الإشارات والأنظمة الذكية</t>
  </si>
  <si>
    <t>Laboratoire Nanomatériaux, Nanotechnologie et Energie</t>
  </si>
  <si>
    <t>LR19ES23</t>
  </si>
  <si>
    <t>MEFTAH Abdelaziz</t>
  </si>
  <si>
    <t>abdel01meftah@yahoo.fr</t>
  </si>
  <si>
    <t>fusion UR13ES31 et UR14ES09 coresp MES 06/11/2019 n° 4629</t>
  </si>
  <si>
    <t>HAGGEGE Joseph</t>
  </si>
  <si>
    <t>joseph,haggege@enit,utm,tn</t>
  </si>
  <si>
    <t>71874700 poste 441</t>
  </si>
  <si>
    <t>à la place de SOUDANI Dhaou corsp MES n° 374 du 28/1/2020</t>
  </si>
  <si>
    <t>AZZOUZ Sofien</t>
  </si>
  <si>
    <t>soufien,azouz@fst.rnu.tn</t>
  </si>
  <si>
    <t>71872600 poste 368</t>
  </si>
  <si>
    <t xml:space="preserve">reconduction UR13ES42 coresp MES 06/11/2019 n° 4629 acceptation Zied JEMAI à la place Atidel HADJ ALOUANE corresp MES  1/6/2020 n°1721 </t>
  </si>
  <si>
    <t>JEMAI Zied</t>
  </si>
  <si>
    <t>MILED Karim</t>
  </si>
  <si>
    <t>à la place de LIMAM Walid corres MES n° 2467 du 27/7/2020</t>
  </si>
  <si>
    <t>الهندسة المدنية</t>
  </si>
  <si>
    <t>التنوع البيولوجي وعلم الطفيليات والإيكولوجيا في المنظومات المائية</t>
  </si>
  <si>
    <t>en cours</t>
  </si>
  <si>
    <t>30/6/2016/ elle a été interrompu</t>
  </si>
  <si>
    <t>BEN AMMOU Nadhir</t>
  </si>
  <si>
    <t>en attente de publication du LR dans le JORT</t>
  </si>
  <si>
    <t>première date de nomination (service Personnel)</t>
  </si>
  <si>
    <t>BAHRI Sihem</t>
  </si>
  <si>
    <t>reconduction UR11ES08/à la place de sabiha TLIG  corresp MES N° 352 du 02/02/2021</t>
  </si>
  <si>
    <t>الإنتاجية النباتية والضغوطات البيئية</t>
  </si>
  <si>
    <t>المواد ذات البنية النانومترية، البصريات الكمية وغير الخطية</t>
  </si>
  <si>
    <t>الإعلامية والتوازي والنظم الذكية التواصلية</t>
  </si>
  <si>
    <t>LR20ES03</t>
  </si>
  <si>
    <t>LR20ES04</t>
  </si>
  <si>
    <t>Matériaux nano-structurés, optique quantique et non linéaire</t>
  </si>
  <si>
    <t>Informatique, Parallélisme et systèmes intelligents communicants</t>
  </si>
  <si>
    <t>الفوطوفلتائية والمواد نصف موصلة</t>
  </si>
  <si>
    <t>Laboratoire de Photovoltaïque et Matériaux Semi-conducteurs</t>
  </si>
  <si>
    <t>LR20ES05</t>
  </si>
  <si>
    <t>Ben Rabah Mohamed</t>
  </si>
  <si>
    <t>LR20ES12</t>
  </si>
  <si>
    <t>LR20ES13</t>
  </si>
  <si>
    <t>LR20ES14</t>
  </si>
  <si>
    <t>BOUBAKER Adel</t>
  </si>
  <si>
    <t>MKADDEM Lamia</t>
  </si>
  <si>
    <t>بحوث في المالية الدولية</t>
  </si>
  <si>
    <t>تجديد، إستراتيجيا، ريادة الأعمال، مالية وإقتصاد</t>
  </si>
  <si>
    <t>إقتصاد التنمية المستدامة والموارد الطبيعية والفلاحة</t>
  </si>
  <si>
    <t>Laboratoire International Finance Group Tunisia</t>
  </si>
  <si>
    <t xml:space="preserve">Innovation, Stratégie, Entrepreneuriat, Finance et Economie  </t>
  </si>
  <si>
    <t xml:space="preserve">ECONOMIE DU DEVELOPPEMENT DURABLE, DES RESSOURCES NATURELLES ET DE L’AGRICULTURE </t>
  </si>
  <si>
    <t>CHAFFEI HAOUARI Chiraz</t>
  </si>
  <si>
    <t>chiraz_ch2001@yahoo.fr</t>
  </si>
  <si>
    <t>reconduction UR11ES07/  Chiraz CHEFEII à la place Zeineb ourghi ABIDI corresp MES du 05/02/2021 N°395</t>
  </si>
  <si>
    <t>sihem.bahri@fst.utm.tn</t>
  </si>
  <si>
    <t>mourad.telmini@fst.utm.tn</t>
  </si>
  <si>
    <t>karim.miled@enit.utm.tn</t>
  </si>
  <si>
    <t>zied.jemai@enit.utm.tn</t>
  </si>
  <si>
    <t>mohamed.benrabeh@enit.utm.tn</t>
  </si>
  <si>
    <r>
      <t>71 87 27 29</t>
    </r>
    <r>
      <rPr>
        <sz val="11"/>
        <color rgb="FFFF0000"/>
        <rFont val="Arial Narrow"/>
        <family val="2"/>
      </rPr>
      <t xml:space="preserve">                </t>
    </r>
  </si>
  <si>
    <t xml:space="preserve">prof.boubaker@gmail.com </t>
  </si>
  <si>
    <t>71870277 – 71874121 poste 243</t>
  </si>
  <si>
    <t>98 430 378</t>
  </si>
  <si>
    <t xml:space="preserve">samia.zouaoui@fsegt.utm.tn  </t>
  </si>
  <si>
    <t xml:space="preserve">98 582 976         </t>
  </si>
  <si>
    <t>lamiamokaddem@fsegt.utm.tn</t>
  </si>
  <si>
    <t>ali.benali@fst.utm.tn</t>
  </si>
  <si>
    <t>samir.benahmed@fst.utm.tn</t>
  </si>
  <si>
    <t>nadhirbenammou@gmail.com</t>
  </si>
  <si>
    <t xml:space="preserve">TELMINI Mourad </t>
  </si>
  <si>
    <t xml:space="preserve"> Mourad TELMINI  à la place de Nejmeddine jaidaine  correspMES n° 2342 du 05/04/2021</t>
  </si>
  <si>
    <t>LR21ES01</t>
  </si>
  <si>
    <t>LR21ES08</t>
  </si>
  <si>
    <t>التحليل الغير الخطي والهندسة</t>
  </si>
  <si>
    <t>LR21ES09</t>
  </si>
  <si>
    <t>KAIROUANI Lakdhar</t>
  </si>
  <si>
    <t>الطاقية والمحيط</t>
  </si>
  <si>
    <t>التفاعلات بين النبات والتربة والبيئة</t>
  </si>
  <si>
    <t>Interactions plantes Sol et Environnement</t>
  </si>
  <si>
    <t>benhamed_hela@yahoo.fr</t>
  </si>
  <si>
    <t>Analyse non linéaire et Géométrie</t>
  </si>
  <si>
    <t>Energétique et Environnement</t>
  </si>
  <si>
    <t>lakdar_kairouani@yahoo.fr</t>
  </si>
  <si>
    <t xml:space="preserve">acceptation RS décion en cours </t>
  </si>
  <si>
    <t>MELKI  Fatheddine</t>
  </si>
  <si>
    <t>NEJI Jamel</t>
  </si>
  <si>
    <t>à la place de BECHIKH Ridha corresp n° 2330 du 24/12/21</t>
  </si>
  <si>
    <t>STAMBOULI Sondess</t>
  </si>
  <si>
    <t>sondes.stambouli@fst.utm.tn</t>
  </si>
  <si>
    <t>NASRALLAH  Tarek</t>
  </si>
  <si>
    <t>tarek.bennasrallah@fst.utm.tn</t>
  </si>
  <si>
    <t>jamel.neji@enit.utm.tn</t>
  </si>
  <si>
    <t>المواد، الأمثلية والطاقة للإستدامة</t>
  </si>
  <si>
    <t>Le CV ne mentionne pas  ni mail ni tel,,,</t>
  </si>
  <si>
    <t>fetheddine.melki@fst.utm.tn</t>
  </si>
  <si>
    <t>MHAMDI Abada</t>
  </si>
  <si>
    <t>monssef.feki@gmail.com</t>
  </si>
  <si>
    <t>en attente de nomination SP</t>
  </si>
  <si>
    <t>Riadh ALLANI</t>
  </si>
  <si>
    <t>SAIEB Hamdi</t>
  </si>
  <si>
    <t>الموارد الطبيعيةأ البيئة والبيوتكنولوجيا</t>
  </si>
  <si>
    <t>LR22ES04</t>
  </si>
  <si>
    <t>SEBEI Khaled</t>
  </si>
  <si>
    <t>Bioressources, Environnement et Biotechnologies</t>
  </si>
  <si>
    <t>Faculté des Sciences  de Tunis</t>
  </si>
  <si>
    <t>Nomination du nouv directeur: Pr Riadh ALLANI ( en remplacement du pr Nissaf BOUAFIF DGRS 13466 DU 11/05/2022</t>
  </si>
  <si>
    <t>Essaieb@yahoo.fr</t>
  </si>
  <si>
    <t>nomination de ESSAIEB Hamdi à la place deMounir BOUASSIDA corres DGRS n° 18029 du 7/6/2022</t>
  </si>
  <si>
    <t>nomination du P. BEN AMMOU Nadhir en remplacement du Pr Mohamed SAID ACCORD DGRS:</t>
  </si>
  <si>
    <t>nomination de NASRALLAH  Tarek en remplacement de Pr Sonia HADDAD  Corresp DGRS n° 417 du 06/1/2022</t>
  </si>
  <si>
    <t>Nomination de MELKI  Fatheddine à la place de BOUKADI Nourreddine corresp MES N°2334 du 24/12/2021</t>
  </si>
  <si>
    <t>nomination de ASCHI Adel en remplacement de OTHMAN Tahar (retraité) corresp  MES  du 29/4/2019 n°8301</t>
  </si>
  <si>
    <t>KAFFEL Hella</t>
  </si>
  <si>
    <t>hella.kaffel@fst.utm.tn
hella.kaffel@gmail.com</t>
  </si>
  <si>
    <t>Le responsable est en détachement , Le laboratoire a demandé de fusionner avec LR11ES11/ le doyen est responsable actuellement</t>
  </si>
  <si>
    <t>ZID Mohamed Faouzi</t>
  </si>
  <si>
    <t>mohamedfaouzi.zid@fst.rnu.tn
medfaouzi.zid57@gmail.com</t>
  </si>
  <si>
    <t xml:space="preserve">demande de renouvellement de KSIBI Zouhair corresp envoyé le 19/12/2022 sn° 49667 </t>
  </si>
  <si>
    <t>khaled.sebei@issbat.utm.tn</t>
  </si>
  <si>
    <t>nouvelle création</t>
  </si>
  <si>
    <t>proposition de nomination de responsable  ou responsable retraité ou en détachement</t>
  </si>
  <si>
    <t>nouvelle nomination</t>
  </si>
  <si>
    <t xml:space="preserve">مخبر المؤسسات والبحث في التسويق </t>
  </si>
  <si>
    <t>إستشراف، إستراتجية وتنمية مستديمة</t>
  </si>
  <si>
    <t>الإندماج الإقتصادي الدولي</t>
  </si>
  <si>
    <t>الإقتصاد الكمي للتنمية</t>
  </si>
  <si>
    <t xml:space="preserve"> الإقتصاد الجزئي التطبيقي </t>
  </si>
  <si>
    <t>مالية، محاسبة، نظام الضرائب</t>
  </si>
  <si>
    <t>قانون العلاقات الدولية والأسواق والمفاوضات</t>
  </si>
  <si>
    <t>العلوم الدستورية والإدارية والمالية</t>
  </si>
  <si>
    <t>فض النزاعات وطرق التنفيذ</t>
  </si>
  <si>
    <t>بحوث في القانون المدني</t>
  </si>
  <si>
    <t>فقه القضاء</t>
  </si>
  <si>
    <t>النمذجة في هيدرولوجيا المياه والمحيط</t>
  </si>
  <si>
    <t>النمذجة الرياضياتية والرقمية  في علوم الهندسة</t>
  </si>
  <si>
    <t>أنظمة الإتصالات</t>
  </si>
  <si>
    <t>الأنظمة الكهربائية</t>
  </si>
  <si>
    <t>الإشارة، الصورة وتكنولوجيات المعلومات</t>
  </si>
  <si>
    <t>التحكم الآلي</t>
  </si>
  <si>
    <t>الميكانيك التطبيقية والهندسة</t>
  </si>
  <si>
    <t>التحليل، التصميم والتحكم في الأنظمة</t>
  </si>
  <si>
    <t>الهندسة الجيوتقنية</t>
  </si>
  <si>
    <t>آليتية، إعلامية وأنظمة معقدة</t>
  </si>
  <si>
    <t>الوراثة الجزيئية والمناعة والبيوتكنولوجيا</t>
  </si>
  <si>
    <t>فيزياء المواد المكثفة</t>
  </si>
  <si>
    <t>كيمياء عضوية هيكلية: تحضير ودراسات فيزيائية كيميائية</t>
  </si>
  <si>
    <t>الكيمياءالتحليلية والكهروكيمياء</t>
  </si>
  <si>
    <t>فيزياء المواد الرخوة</t>
  </si>
  <si>
    <t>المواد والتنظيم والخاصيات</t>
  </si>
  <si>
    <t>البيوكيمياءوالتكنوبيولوجيا</t>
  </si>
  <si>
    <t>الثروات الجيولوجية والمحيط</t>
  </si>
  <si>
    <t>الطاقة وتنقل الحرارةوالكتلة</t>
  </si>
  <si>
    <t>كيمياء المواد وحفز التفاعلات الكيميائية</t>
  </si>
  <si>
    <t>التصوير الطيفي للذرة والجزيئة وتطبيقاته</t>
  </si>
  <si>
    <t>الأحياء الدقيقة والجزيئات  الحيوية</t>
  </si>
  <si>
    <t>المعادلات ذات المشتقات الجزيئة</t>
  </si>
  <si>
    <t>علم الوراثة والمناعة وبتولوجيا الإنسان</t>
  </si>
  <si>
    <t>التنوع البيولوجي والبيوتكنولوجيا والتغيرات المناخية</t>
  </si>
  <si>
    <t>المواد المتقدمة والظواهر الكمية</t>
  </si>
  <si>
    <t>تحليل الرياضيات وتطبيقاتها</t>
  </si>
  <si>
    <t>الجبر، الطوبولوجيا وعلم الحساب والهياكل الترتيبية</t>
  </si>
  <si>
    <t>التحليل الإحتمالي وتطبيقاته</t>
  </si>
  <si>
    <t>الإعلامية في البرمجة والخورازميات والإستكشاف</t>
  </si>
  <si>
    <t>الدلات الخاصة، التحليل التوافقي والتطابقي</t>
  </si>
  <si>
    <t>المواد، كيمياء البلورات والترموديناميك التطبيقية</t>
  </si>
  <si>
    <t>علم الفطريات، الأمراض والمؤشرات الحيوية</t>
  </si>
  <si>
    <t>التأليف العضوي الإنتقائي والحلقي غير المتجانس: تقييم النشاط البيولوجي</t>
  </si>
  <si>
    <t>الفيزيولوجيا العصبية، الفيزيولوجيا المرضية الخلوية وتثمين الجزيئات الحيوية</t>
  </si>
  <si>
    <t>التنوع والتصرف والمحافظة في الأنظمة البيولوجية</t>
  </si>
  <si>
    <t>الأحواض الرسوبية وجيولوجيا النفط</t>
  </si>
  <si>
    <t>توصيف، تطبيق ونمذجة المواد</t>
  </si>
  <si>
    <t>النمذجة في الرياضيات، التحليل التوافقي ونظرية الجهد</t>
  </si>
  <si>
    <t>جيوديناميك، جيورقمية وجيولوجيا المواد</t>
  </si>
  <si>
    <t>إلكترونيك الذبذبات القصيرة</t>
  </si>
  <si>
    <t>المواد الدقيقة والضوئيات</t>
  </si>
  <si>
    <t>البيولوجيا العصبية الجزيئية و الأمراض العصبية</t>
  </si>
  <si>
    <t>مقاومة المضادات الحيوية</t>
  </si>
  <si>
    <t>علم الوراثة البشري</t>
  </si>
  <si>
    <t>البيوكيميا الكلينيكية</t>
  </si>
  <si>
    <t>بحوث حول وبائيات ووقاية أمراض القلب والشرايين بتونس</t>
  </si>
  <si>
    <t xml:space="preserve"> الجراحة العامة وجراحة الجهاز الهضمي</t>
  </si>
  <si>
    <t>ميكروبيولوجيا الأطفال ومرضى نقص المناعة</t>
  </si>
  <si>
    <t>تشخيص وعلاج الأمراض الورمية الخبيثة</t>
  </si>
  <si>
    <t>المواد والبيئة من أجل التنمية المستدامة</t>
  </si>
  <si>
    <t xml:space="preserve">البيوفيزياء والتكنولوجيات الطبية </t>
  </si>
  <si>
    <t>بحوث في التنوير والحداثة والتنوع الثقافي</t>
  </si>
  <si>
    <t>الإعلامية، النمذجة ومعالجة المعلومات والمعرفة</t>
  </si>
  <si>
    <t>riadh.allani@fmt.utm.tn</t>
  </si>
  <si>
    <t>Ben ROMDHANE Hatem</t>
  </si>
  <si>
    <t>Nomination de  Ben ROMDHANE Hatem en remplacement de REZGUI Farhat (retraite) / corresp MES reçu le 23/01/2023 S/N° 4144</t>
  </si>
  <si>
    <t>Nomination  de Saloua AOUADI d en remplacement de   OUERDIANE Habib (retraite depuis octobre 2018) /accord DGRS corresp n° 14499 du 028/3/2023</t>
  </si>
  <si>
    <t>fethi.mahmoudi@fst.rnu.utm.tn</t>
  </si>
  <si>
    <t xml:space="preserve">
chiraz.hannachi@fst.utm.tn</t>
  </si>
  <si>
    <t>HANNACHI  Chiraz</t>
  </si>
  <si>
    <t xml:space="preserve">reconduction UR11ES17/ Nomination de HANNACHI Chiraz à la place de Béchir HAMROUNI corresp mes n° </t>
  </si>
  <si>
    <t>Saloua.Mani@fst.utm.tn</t>
  </si>
  <si>
    <t>Saloua AOUADI MANI</t>
  </si>
  <si>
    <t>hatem.kanfoudi@enit.utm.tn</t>
  </si>
  <si>
    <t xml:space="preserve">
hatem.benrmdhane@fst.utm.tn</t>
  </si>
  <si>
    <t>retraité</t>
  </si>
  <si>
    <t>KANFOUDI Hatem</t>
  </si>
  <si>
    <t xml:space="preserve"> nomination de KANFOUDI Hatem en remplacement de ZGOLLI  Ridha  corres envoyé au DGRS le 30/11/2022 n° 46290/ corresp DGRS N°22029 du15/05/2023</t>
  </si>
  <si>
    <t>LR23ES05</t>
  </si>
  <si>
    <t>LR23ES03</t>
  </si>
  <si>
    <t>LR23ES04</t>
  </si>
  <si>
    <t>تطبيقات النجاعة في الطاقة والطاقات المتجددة</t>
  </si>
  <si>
    <t>Modélisation Mathématique et Simulation Multi-échelle  pour la physique et l'Ingénierie</t>
  </si>
  <si>
    <t>مخبر النمذجة الرياضية والمحاكاة المتعددة القياسات للفيزياء والهندسة</t>
  </si>
  <si>
    <t>FST</t>
  </si>
  <si>
    <t>LR23ES02</t>
  </si>
  <si>
    <t>sonia.djaziri-larbi@enit.utm.tn</t>
  </si>
  <si>
    <t>reconduction UR13ES43 coresp MES 06/11/2019 n° 4629/ nomination de Sonia JAZIRI à la place de Jalel ZINE corres n°28035 du 20 juin 2023</t>
  </si>
  <si>
    <t>abada.mhamdi@fmt.utm.tn</t>
  </si>
  <si>
    <t>maher.moakher@enit.utm.tn</t>
  </si>
  <si>
    <t>MOKHER Maher</t>
  </si>
  <si>
    <t>nomination de MOKHER Maher à la place de BELLASOUED Mourad corresp MES N°49501 du 14/11/2023</t>
  </si>
  <si>
    <t>71874700 poste595</t>
  </si>
  <si>
    <t>BEN SASSI Samia</t>
  </si>
  <si>
    <t>dr.samiabensassi@gmail.com</t>
  </si>
  <si>
    <t>HEDI NEGRA Mohamed</t>
  </si>
  <si>
    <t>hedi.negra@fst.utm.tn</t>
  </si>
  <si>
    <t>Proposition  Mohamed Hédi NEGRA à la place de Mohamed GHANMI  corresp MES reçu le 23/01/2024 S/N° 760</t>
  </si>
  <si>
    <t>LR24ES10</t>
  </si>
  <si>
    <t>البحوث والدراسات الإبراخيلية</t>
  </si>
  <si>
    <t>LR24ES05</t>
  </si>
  <si>
    <t>LR24ES08</t>
  </si>
  <si>
    <t>Santé populationnaire, Agresseurs Environnementaux,Thérapies alternatives</t>
  </si>
  <si>
    <t>reconduction de UR17ES13  en Laboratoire corresp DGRS du12/04/2024 S/N1646</t>
  </si>
  <si>
    <t>الصحة الجماعية المضار البيئية العلاج البديل</t>
  </si>
  <si>
    <t>Demande de Nomination de Mme Salwa Zehdi à la place de Mme Neila Trifi (mai 2024)</t>
  </si>
  <si>
    <t>IPT</t>
  </si>
  <si>
    <t>Institut Pasteur de Tunis</t>
  </si>
  <si>
    <t xml:space="preserve">reconduction de UR13ES27  en Laboratoire corresp DGRS du 31/05/2023 S/N24825/ Proposition Dalila HMAIDI WESLATI à la place Ezzeddine SIDIKI proposition envoyé 18/9/2023  S/N 38634                        Acceptatiobn de nomination de Mme Delila HMAIDI en tant que Chef de labo correspondance de DGRS N° 5533  le 01/02/2024                                                           </t>
  </si>
  <si>
    <t>reconduction UR13ES40corresp MES 383 du 4/02/21
Nomination de labo LR20ES05 (12/03/2024)
correspondance de MES envoyé le 03/06/2024 N° 23623 de nomination MrMohamed Ben Rabeh</t>
  </si>
  <si>
    <t>reconduction UR13ES22 corresp MES 383 du 4/02/21
Nomination de labo LR20ES12 LE 12/03/2024
Correspondance de MES le 03/06/2024 N 23623 de Nominatio de Adel Boubaker</t>
  </si>
  <si>
    <t>reconduction UR13ES23 corresp MES 383 du 4/02/21
Nomination de labo LR20ES13 Le 12/03/2024
Correspondance de MES le 03/06/2024 N 23623 de Nominatio de Mme Samia Karwi Ezwawi</t>
  </si>
  <si>
    <t>reconduction UR13ES85 corresp MES 383 du 4/02/21
Nomination de labo LR20ES14 Le 12/03/2024
Correspondance de MES le 03/06/2024 N 23623 de Nominatio de Mr Lamia MKADDEM</t>
  </si>
  <si>
    <t xml:space="preserve">reconduction UR13ES38 corresp MES 383 du 4/02/21
Nomination de labo LR20ES04 JORT (12/03/2024)
correspondance de MES envoyé le 03/06/2024 N° 23623 de nomination MrSamir Ben 
Ahmed
</t>
  </si>
  <si>
    <t>reconduction de UR17ES11  en Laboratoire corresp DGRS du 31/05/2023 S/N24825 
nomination d e labo  JORT 2/03/2024  LR23ES04
correspondance de MES envoyé le 03/06/2024 N° 23623 de nomination Mr ABD ELKADER MAMI</t>
  </si>
  <si>
    <t>reconduction UR13ES39 après un réexamen/ corresp DGRS N° 32846du 12/9/2022
Nomination de labo LR22ES04  JORT Le 12/03/2024
Correspondance de MES le 03/06/2024 N 23623 de Nominatio de Mr Khaled ESSEBAI</t>
  </si>
  <si>
    <t xml:space="preserve">fusion UR13ES28 et UR13ES30 corresp MES 383 du 4/02/21
Nomination de labo LR20ES03 JORT (12/03/2024)
correspondance de MES envoyé le 03/06/2024 N° 23623 de nomination Mr Ali ben Ali
</t>
  </si>
  <si>
    <t>reconduction UR13ES25corresp MES 1749du 4/05/21
Nomination de labo LR21ES01 JORT  Le 12/03/2024
Correspondance de MES le 03/06/2024 N 23623 de Nominatio de Mme Hela Ben Ahmed</t>
  </si>
  <si>
    <t>reconduction deUR17ES15  en Laboratoire corresp DGRS du 31/05/2023 S/N24825
Nomination de labo LR23ES02 JORT 12/03/2024
Correspondance le MES (N 23623 date 03/06/2024) pour préparer un décret de nomination de Mme Soumailla RAMMEH en tant que chef delabo</t>
  </si>
  <si>
    <t>reconduction UR13ES32corresp MES 1749du 4/05/21/ Nomination  de Fethi MAHMOUDI d en remplacement de   Sami BARAKET (Détachement) /accord DGRS corresp n° 14567 du 028/3/2023
Nomination de labo LR21ES08 JORT (12/03/2024
Correspondance de MES le 03/06/2024 N 23623 de Nominatio de Mr Sami BARAKET</t>
  </si>
  <si>
    <t xml:space="preserve">reconduction en Laboratoire UR17ES07 corresp DGRS du 31/05/2023 S/N24825
Nomination du labo LR23ES05B JORT 12/03/2024
Correspondance de MES le 03/06/2024 N 23623 de Nominatio de Mme Fatma DOUAGI
</t>
  </si>
  <si>
    <t xml:space="preserve"> demande de renouvellement de de Sofien AZZOUZ le 09/10/2024
  Nomination de Sofien AZZOUZ corresp  MES  du 11/11/2024 n°48225</t>
  </si>
  <si>
    <t xml:space="preserve"> Retour "Demande de nomination de Mr Faouzi Dkhil au lieu de Mme Kawther Said 
 ( 15/07/2024)  لنقص الملف لقائمة في الخدمات  وآخر قرار تدرج للمعني بالأمر</t>
  </si>
  <si>
    <t>Demande de Nomination du nouv directeur Asma Ferjani au lieu de Mm Ilhem Boutiba (07/06/2024)
Nomination de Mme ASMA FERJANI au lieu de Mme ILHEM Boutiba  corres  MES N° 532008 du 02/08/2024</t>
  </si>
  <si>
    <t xml:space="preserve"> Nomination de Mme BEN SASSI Samia à la place du Pr BLEL Samir à la retraite, corres  MES N° 49501 du 14/11/2023</t>
  </si>
  <si>
    <r>
      <t xml:space="preserve">reconduction de UR16ES06  en Laboratoire corresp DGRS du 12/04/2024 S/N16027
</t>
    </r>
    <r>
      <rPr>
        <b/>
        <sz val="10"/>
        <rFont val="Bitstream Charter"/>
      </rPr>
      <t>Demande de nomination de Mr Mohamed Chagraoui au lieu de Mme Zouhour Ben Aziza (29mai 2024)
Nomination de Mr Mohamed Chagraoui
 Correspondance de MES le 12/09/2024 N 37069</t>
    </r>
  </si>
  <si>
    <t xml:space="preserve">
Nomination deKhalid JLASSIau lieu de MrFerid KOURDA correspondance MES n°41010 du 03/10/2024
</t>
  </si>
  <si>
    <t>khaled.jelassi@enit.utm.tn</t>
  </si>
  <si>
    <t xml:space="preserve">tarek.mabrouki@enit.utm.tn </t>
  </si>
  <si>
    <t xml:space="preserve">
Nomination de Tarek Mabrouki correspondance MES n°34969 du 29/08/2024</t>
  </si>
  <si>
    <t>JAZIRI ARBI Sonia</t>
  </si>
  <si>
    <t>reconduction UR13ES86corresp MES 1749 du 4/05/21
Nomination de labo LR20ES09 Le 12/03/2024
Correspondance de MES le 03/06/2024 N 23623 de Nominatio de Mr Lkhdhar ELKAIRAWENI</t>
  </si>
  <si>
    <t>SR</t>
  </si>
  <si>
    <r>
      <t>Transformation de UR17ES05  en Laboratoire corresp DGRS d</t>
    </r>
    <r>
      <rPr>
        <b/>
        <sz val="10"/>
        <rFont val="Bitstream Charter"/>
      </rPr>
      <t>u12 /04/2024 S/N1646</t>
    </r>
  </si>
  <si>
    <r>
      <t>LR13ES</t>
    </r>
    <r>
      <rPr>
        <sz val="10"/>
        <color rgb="FFFF0000"/>
        <rFont val="Bitstream Charter"/>
      </rPr>
      <t>05</t>
    </r>
  </si>
  <si>
    <t xml:space="preserve">
halima.mahjoubi@istmt.utm.tn</t>
  </si>
  <si>
    <t>KAROUI ZOUAOUI Samia</t>
  </si>
  <si>
    <t>Zehdi Salwa</t>
  </si>
  <si>
    <t>salwa.zehdi@fst.utm.tn</t>
  </si>
  <si>
    <t>Gati Asma</t>
  </si>
  <si>
    <t>asma.gati@fst.utm.tn</t>
  </si>
  <si>
    <t>dalila.elhmaidi@fst.utm.tn</t>
  </si>
  <si>
    <t xml:space="preserve">
Nomination de Mme Assma GATTI au lieu de Mme Raja MARRAKCHI  accord DGRS corres N°38481 DU 20 /09/2024</t>
  </si>
  <si>
    <t xml:space="preserve">BELHAJ Rhouma Nedra </t>
  </si>
  <si>
    <t xml:space="preserve">DOYEN FST </t>
  </si>
  <si>
    <t>CHAGRAOUI Mohamed</t>
  </si>
  <si>
    <t>HMAIDI Dalila</t>
  </si>
  <si>
    <t>MAHMOUDI Fethi</t>
  </si>
  <si>
    <t>BEN AHMED Hela</t>
  </si>
  <si>
    <t>BEN AHMED  Samir</t>
  </si>
  <si>
    <t>BEN ALI Ali</t>
  </si>
  <si>
    <t>mohamed.chagraoui@issht.utm.tn</t>
  </si>
  <si>
    <t>FERJANI Asma</t>
  </si>
  <si>
    <t>asma.ferjani@fmt.utm.tn</t>
  </si>
  <si>
    <t>Laboratoire de microbiologie moléculaire, vaccinologie et développement biotechnologique</t>
  </si>
  <si>
    <t>Laboratoire d'Epidémiologie et de microbiologie vétérinaire</t>
  </si>
  <si>
    <t>Laboratoire de Génomique Biomédicale et Oncogénétique</t>
  </si>
  <si>
    <t>Hématologie moléculaire et cellulaire</t>
  </si>
  <si>
    <t>Laboratoire des Biomolécules, Venins et Applications Théranostiques</t>
  </si>
  <si>
    <t xml:space="preserve">Laboratoire de Transmission, Contrôle et Immunobiologie des Infections
</t>
  </si>
  <si>
    <t>Epidémiologie moléculaire et pathologie expérimentale</t>
  </si>
  <si>
    <t>Laboratoire de parasitologie médicale, biotechnologie et biomolécules</t>
  </si>
  <si>
    <t>Bioinformatique, biomathématique, biostatistique (BIMS)</t>
  </si>
  <si>
    <t>Laboratoire: de recherche en Virus, Vecteurs et Hôtes</t>
  </si>
  <si>
    <t>BEN ABDELMOUMEN Boutheina</t>
  </si>
  <si>
    <t>MAAROUFI Abderrazak</t>
  </si>
  <si>
    <t xml:space="preserve"> YACOUB-YOUSSEF Houda</t>
  </si>
  <si>
    <t>SAFRA Ines SAFRA</t>
  </si>
  <si>
    <t xml:space="preserve"> SRAIRI ABID Najet</t>
  </si>
  <si>
    <t xml:space="preserve">LAOUINI Dhafer </t>
  </si>
  <si>
    <t>BEN KHEDIR SEFI Khadija</t>
  </si>
  <si>
    <t xml:space="preserve">MOUSLI Mohamed </t>
  </si>
  <si>
    <t xml:space="preserve">GHEDIRA Kais </t>
  </si>
  <si>
    <t xml:space="preserve">BOUATTOUR Ali </t>
  </si>
  <si>
    <t xml:space="preserve">
boutheina.mardassi@pasteur.tn ou boutheinamardassi@gmail.com</t>
  </si>
  <si>
    <t>Abderrazak.Maaroufi@pasteur.tn</t>
  </si>
  <si>
    <t>najet.abidsrairi@pasteur.tn</t>
  </si>
  <si>
    <t>Dhafer.Laouini@pasteur.tn</t>
  </si>
  <si>
    <t>mohamed.mousli@pasteur.utm.tn</t>
  </si>
  <si>
    <t>ali.bouattour@pasteur.tn</t>
  </si>
  <si>
    <t>http://www.pasteur.tn/lr-16-ipt-01</t>
  </si>
  <si>
    <t>http://www.pasteur.tn/lr-16-ipt-03</t>
  </si>
  <si>
    <t>http://www.pasteur.tn/lr-16-ipt-05</t>
  </si>
  <si>
    <t>http://www.pasteur.tn/lr-16-ipt-07</t>
  </si>
  <si>
    <t>http://www.pasteur.tn/lr-20-ipt-01</t>
  </si>
  <si>
    <t>http://www.pasteur.tn/lr-16-ipt-02</t>
  </si>
  <si>
    <t>http://www.pasteur.tn/lr-16-ipt-04</t>
  </si>
  <si>
    <t>http://www.pasteur.tn/lr-16-ipt-06</t>
  </si>
  <si>
    <t>http://www.pasteur.tn/lr-16-ipt-09</t>
  </si>
  <si>
    <t>http://www.pasteur.tn/lr-20-ipt-02</t>
  </si>
  <si>
    <t>ines.safra@esstst.utm.tn</t>
  </si>
  <si>
    <t xml:space="preserve">JELASSI Khaled </t>
  </si>
  <si>
    <t xml:space="preserve">MABROUKI Tarek </t>
  </si>
  <si>
    <t>Date de MAJ : 19/12/2024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</si>
</sst>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24">
    <font>
      <sz val="10"/>
      <name val="Arial"/>
      <family val="2"/>
    </font>
    <font>
      <sz val="10"/>
      <name val="Bitstream Charter"/>
      <family val="1"/>
    </font>
    <font>
      <b/>
      <sz val="10"/>
      <name val="Bitstream Charter"/>
      <family val="1"/>
    </font>
    <font>
      <sz val="10"/>
      <color indexed="12"/>
      <name val="Bitstream Charter"/>
      <family val="1"/>
    </font>
    <font>
      <b/>
      <sz val="10"/>
      <name val="Bitstream Charter"/>
    </font>
    <font>
      <sz val="10"/>
      <name val="Bitstream Charter"/>
    </font>
    <font>
      <u/>
      <sz val="10"/>
      <name val="Arial"/>
      <family val="2"/>
    </font>
    <font>
      <b/>
      <sz val="11"/>
      <color indexed="8"/>
      <name val="Calibri"/>
      <family val="2"/>
    </font>
    <font>
      <u/>
      <sz val="10"/>
      <color theme="10"/>
      <name val="Arial"/>
      <family val="2"/>
    </font>
    <font>
      <b/>
      <sz val="10"/>
      <color rgb="FFC00000"/>
      <name val="Bitstream Charter"/>
      <family val="1"/>
    </font>
    <font>
      <sz val="10"/>
      <color rgb="FFC00000"/>
      <name val="Bitstream Charter"/>
      <family val="1"/>
    </font>
    <font>
      <b/>
      <sz val="14"/>
      <color rgb="FFFF0000"/>
      <name val="Bitstream Charter"/>
      <family val="1"/>
    </font>
    <font>
      <sz val="10"/>
      <name val="Arial"/>
      <family val="2"/>
    </font>
    <font>
      <sz val="11"/>
      <color rgb="FF000000"/>
      <name val="Arial Narrow"/>
      <family val="2"/>
    </font>
    <font>
      <sz val="12"/>
      <color rgb="FF000000"/>
      <name val="Times New Roman"/>
      <family val="1"/>
    </font>
    <font>
      <sz val="12"/>
      <name val="Times New Roman"/>
      <family val="1"/>
    </font>
    <font>
      <sz val="11"/>
      <color rgb="FFFF0000"/>
      <name val="Arial Narrow"/>
      <family val="2"/>
    </font>
    <font>
      <sz val="11"/>
      <color rgb="FF000000"/>
      <name val="Times New Roman"/>
      <family val="1"/>
    </font>
    <font>
      <b/>
      <sz val="11"/>
      <name val="Bitstream Charter"/>
      <family val="1"/>
    </font>
    <font>
      <b/>
      <sz val="11"/>
      <color theme="1"/>
      <name val="Calibri"/>
      <family val="2"/>
      <scheme val="minor"/>
    </font>
    <font>
      <sz val="14"/>
      <name val="Bitstream Charter"/>
      <family val="1"/>
    </font>
    <font>
      <sz val="10"/>
      <color rgb="FFFF0000"/>
      <name val="Bitstream Charte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indexed="26"/>
        <bgColor indexed="9"/>
      </patternFill>
    </fill>
    <fill>
      <patternFill patternType="solid">
        <fgColor indexed="12"/>
        <bgColor indexed="39"/>
      </patternFill>
    </fill>
    <fill>
      <patternFill patternType="solid">
        <fgColor theme="0"/>
        <bgColor indexed="2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34"/>
      </patternFill>
    </fill>
    <fill>
      <patternFill patternType="solid">
        <fgColor theme="0"/>
        <bgColor indexed="9"/>
      </patternFill>
    </fill>
    <fill>
      <patternFill patternType="solid">
        <fgColor theme="0"/>
        <bgColor indexed="39"/>
      </patternFill>
    </fill>
    <fill>
      <patternFill patternType="solid">
        <fgColor theme="3"/>
        <bgColor indexed="39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3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41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16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1" fillId="5" borderId="0" xfId="0" applyFont="1" applyFill="1" applyAlignment="1">
      <alignment horizontal="left" vertical="center"/>
    </xf>
    <xf numFmtId="0" fontId="2" fillId="0" borderId="0" xfId="0" applyFont="1" applyFill="1" applyBorder="1" applyAlignment="1">
      <alignment vertical="center" wrapText="1"/>
    </xf>
    <xf numFmtId="0" fontId="5" fillId="0" borderId="0" xfId="0" applyFont="1" applyFill="1" applyAlignment="1">
      <alignment horizontal="left" vertical="center" wrapText="1"/>
    </xf>
    <xf numFmtId="0" fontId="5" fillId="0" borderId="0" xfId="0" applyFont="1" applyFill="1" applyBorder="1" applyAlignment="1">
      <alignment vertical="center" wrapText="1"/>
    </xf>
    <xf numFmtId="0" fontId="5" fillId="0" borderId="0" xfId="0" applyFont="1" applyFill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10" borderId="0" xfId="0" applyFont="1" applyFill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/>
    </xf>
    <xf numFmtId="0" fontId="1" fillId="5" borderId="0" xfId="0" applyFont="1" applyFill="1" applyAlignment="1">
      <alignment vertical="center" wrapText="1"/>
    </xf>
    <xf numFmtId="0" fontId="1" fillId="5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0" fontId="1" fillId="5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horizontal="left" vertical="center" wrapText="1"/>
    </xf>
    <xf numFmtId="14" fontId="5" fillId="5" borderId="1" xfId="0" applyNumberFormat="1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14" fontId="5" fillId="0" borderId="1" xfId="0" applyNumberFormat="1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8" fillId="5" borderId="1" xfId="1" applyFill="1" applyBorder="1" applyAlignment="1" applyProtection="1">
      <alignment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8" fillId="5" borderId="1" xfId="1" applyFill="1" applyBorder="1" applyAlignment="1" applyProtection="1">
      <alignment horizontal="left" vertical="center" wrapText="1"/>
    </xf>
    <xf numFmtId="3" fontId="1" fillId="5" borderId="1" xfId="0" applyNumberFormat="1" applyFont="1" applyFill="1" applyBorder="1" applyAlignment="1">
      <alignment horizontal="left" vertical="center" wrapText="1"/>
    </xf>
    <xf numFmtId="3" fontId="1" fillId="5" borderId="1" xfId="0" applyNumberFormat="1" applyFont="1" applyFill="1" applyBorder="1" applyAlignment="1">
      <alignment horizontal="center" vertical="center" wrapText="1"/>
    </xf>
    <xf numFmtId="0" fontId="8" fillId="0" borderId="1" xfId="1" applyBorder="1" applyAlignment="1" applyProtection="1">
      <alignment vertical="center" wrapText="1"/>
    </xf>
    <xf numFmtId="0" fontId="6" fillId="0" borderId="1" xfId="1" applyFont="1" applyBorder="1" applyAlignment="1" applyProtection="1">
      <alignment horizontal="left" vertical="center" wrapText="1"/>
    </xf>
    <xf numFmtId="0" fontId="8" fillId="0" borderId="1" xfId="1" applyBorder="1" applyAlignment="1" applyProtection="1">
      <alignment horizontal="left" vertical="center" wrapText="1"/>
    </xf>
    <xf numFmtId="0" fontId="1" fillId="4" borderId="1" xfId="0" applyFont="1" applyFill="1" applyBorder="1" applyAlignment="1">
      <alignment horizontal="left" vertical="center"/>
    </xf>
    <xf numFmtId="14" fontId="5" fillId="5" borderId="1" xfId="0" applyNumberFormat="1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/>
    </xf>
    <xf numFmtId="3" fontId="1" fillId="4" borderId="1" xfId="0" applyNumberFormat="1" applyFont="1" applyFill="1" applyBorder="1" applyAlignment="1">
      <alignment horizontal="center" vertical="center"/>
    </xf>
    <xf numFmtId="3" fontId="1" fillId="4" borderId="1" xfId="0" applyNumberFormat="1" applyFont="1" applyFill="1" applyBorder="1" applyAlignment="1">
      <alignment horizontal="left" vertical="center" wrapText="1"/>
    </xf>
    <xf numFmtId="0" fontId="8" fillId="0" borderId="1" xfId="1" applyBorder="1" applyAlignment="1" applyProtection="1"/>
    <xf numFmtId="0" fontId="13" fillId="0" borderId="1" xfId="0" applyFont="1" applyBorder="1"/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14" fontId="1" fillId="5" borderId="1" xfId="0" applyNumberFormat="1" applyFont="1" applyFill="1" applyBorder="1" applyAlignment="1">
      <alignment horizontal="left" vertical="center" wrapText="1"/>
    </xf>
    <xf numFmtId="0" fontId="8" fillId="5" borderId="1" xfId="1" applyFill="1" applyBorder="1" applyAlignment="1" applyProtection="1">
      <alignment horizontal="left" vertical="center"/>
    </xf>
    <xf numFmtId="0" fontId="12" fillId="0" borderId="1" xfId="1" applyFont="1" applyBorder="1" applyAlignment="1" applyProtection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left" vertical="center"/>
    </xf>
    <xf numFmtId="14" fontId="5" fillId="0" borderId="1" xfId="0" applyNumberFormat="1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17" fillId="0" borderId="1" xfId="0" applyFont="1" applyBorder="1"/>
    <xf numFmtId="0" fontId="1" fillId="0" borderId="1" xfId="0" applyFont="1" applyBorder="1" applyAlignment="1">
      <alignment vertical="center"/>
    </xf>
    <xf numFmtId="0" fontId="8" fillId="5" borderId="1" xfId="1" applyFill="1" applyBorder="1" applyAlignment="1" applyProtection="1">
      <alignment vertical="center"/>
    </xf>
    <xf numFmtId="0" fontId="1" fillId="12" borderId="1" xfId="0" applyFont="1" applyFill="1" applyBorder="1" applyAlignment="1">
      <alignment horizontal="left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8" fillId="0" borderId="1" xfId="1" applyFill="1" applyBorder="1" applyAlignment="1" applyProtection="1">
      <alignment horizontal="left" vertical="center" wrapText="1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left" vertical="top" wrapText="1"/>
    </xf>
    <xf numFmtId="3" fontId="1" fillId="0" borderId="1" xfId="0" applyNumberFormat="1" applyFont="1" applyFill="1" applyBorder="1" applyAlignment="1">
      <alignment horizontal="center" vertical="center" wrapText="1"/>
    </xf>
    <xf numFmtId="3" fontId="13" fillId="0" borderId="1" xfId="0" applyNumberFormat="1" applyFont="1" applyBorder="1"/>
    <xf numFmtId="3" fontId="13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wrapText="1"/>
    </xf>
    <xf numFmtId="0" fontId="8" fillId="5" borderId="1" xfId="1" applyFill="1" applyBorder="1" applyAlignment="1" applyProtection="1"/>
    <xf numFmtId="3" fontId="13" fillId="5" borderId="1" xfId="0" applyNumberFormat="1" applyFont="1" applyFill="1" applyBorder="1"/>
    <xf numFmtId="3" fontId="13" fillId="5" borderId="1" xfId="0" applyNumberFormat="1" applyFont="1" applyFill="1" applyBorder="1" applyAlignment="1">
      <alignment horizontal="center"/>
    </xf>
    <xf numFmtId="0" fontId="1" fillId="9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left" vertical="center"/>
    </xf>
    <xf numFmtId="0" fontId="1" fillId="9" borderId="1" xfId="0" applyFont="1" applyFill="1" applyBorder="1" applyAlignment="1">
      <alignment horizontal="left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left" vertical="center" wrapText="1"/>
    </xf>
    <xf numFmtId="3" fontId="1" fillId="8" borderId="1" xfId="0" applyNumberFormat="1" applyFont="1" applyFill="1" applyBorder="1" applyAlignment="1">
      <alignment horizontal="left" vertical="center" wrapText="1"/>
    </xf>
    <xf numFmtId="3" fontId="1" fillId="8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/>
    </xf>
    <xf numFmtId="0" fontId="14" fillId="0" borderId="1" xfId="0" applyFont="1" applyBorder="1" applyAlignment="1">
      <alignment wrapText="1"/>
    </xf>
    <xf numFmtId="0" fontId="14" fillId="5" borderId="1" xfId="0" applyFont="1" applyFill="1" applyBorder="1" applyAlignment="1">
      <alignment wrapText="1"/>
    </xf>
    <xf numFmtId="0" fontId="11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left" vertical="center"/>
    </xf>
    <xf numFmtId="0" fontId="1" fillId="9" borderId="2" xfId="0" applyFont="1" applyFill="1" applyBorder="1" applyAlignment="1">
      <alignment horizontal="left" vertical="center"/>
    </xf>
    <xf numFmtId="0" fontId="1" fillId="8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/>
    </xf>
    <xf numFmtId="0" fontId="1" fillId="5" borderId="6" xfId="0" applyFont="1" applyFill="1" applyBorder="1" applyAlignment="1">
      <alignment horizontal="left" vertical="center" wrapText="1"/>
    </xf>
    <xf numFmtId="0" fontId="1" fillId="4" borderId="5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  <xf numFmtId="0" fontId="1" fillId="0" borderId="5" xfId="0" applyFont="1" applyFill="1" applyBorder="1" applyAlignment="1">
      <alignment horizontal="left" vertical="center"/>
    </xf>
    <xf numFmtId="0" fontId="1" fillId="9" borderId="5" xfId="0" applyFont="1" applyFill="1" applyBorder="1" applyAlignment="1">
      <alignment horizontal="left" vertical="center"/>
    </xf>
    <xf numFmtId="0" fontId="1" fillId="8" borderId="5" xfId="0" applyFont="1" applyFill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Fill="1" applyBorder="1" applyAlignment="1">
      <alignment horizontal="left" vertical="center"/>
    </xf>
    <xf numFmtId="0" fontId="1" fillId="0" borderId="8" xfId="0" applyFont="1" applyFill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/>
    </xf>
    <xf numFmtId="0" fontId="1" fillId="5" borderId="8" xfId="0" applyFont="1" applyFill="1" applyBorder="1" applyAlignment="1">
      <alignment horizontal="left" vertical="center" wrapText="1"/>
    </xf>
    <xf numFmtId="0" fontId="5" fillId="0" borderId="8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8" fillId="6" borderId="1" xfId="1" applyFill="1" applyBorder="1" applyAlignment="1" applyProtection="1">
      <alignment horizontal="left" vertical="center"/>
    </xf>
    <xf numFmtId="0" fontId="2" fillId="12" borderId="0" xfId="0" applyFont="1" applyFill="1" applyAlignment="1">
      <alignment horizontal="left" vertical="center"/>
    </xf>
    <xf numFmtId="0" fontId="5" fillId="13" borderId="1" xfId="0" applyFont="1" applyFill="1" applyBorder="1" applyAlignment="1">
      <alignment horizontal="left" vertical="center" wrapText="1"/>
    </xf>
    <xf numFmtId="0" fontId="2" fillId="11" borderId="0" xfId="0" applyFont="1" applyFill="1" applyAlignment="1">
      <alignment horizontal="left" vertical="center"/>
    </xf>
    <xf numFmtId="0" fontId="2" fillId="13" borderId="0" xfId="0" applyFont="1" applyFill="1" applyAlignment="1">
      <alignment horizontal="left" vertical="center"/>
    </xf>
    <xf numFmtId="0" fontId="19" fillId="5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5" borderId="9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center" wrapText="1"/>
    </xf>
    <xf numFmtId="0" fontId="1" fillId="11" borderId="1" xfId="0" applyFont="1" applyFill="1" applyBorder="1" applyAlignment="1">
      <alignment horizontal="left" vertical="center"/>
    </xf>
    <xf numFmtId="0" fontId="1" fillId="14" borderId="1" xfId="0" applyFont="1" applyFill="1" applyBorder="1" applyAlignment="1">
      <alignment horizontal="left" vertical="center"/>
    </xf>
    <xf numFmtId="0" fontId="1" fillId="11" borderId="0" xfId="0" applyFont="1" applyFill="1" applyAlignment="1">
      <alignment horizontal="left" vertical="center"/>
    </xf>
    <xf numFmtId="0" fontId="1" fillId="11" borderId="8" xfId="0" applyFont="1" applyFill="1" applyBorder="1" applyAlignment="1">
      <alignment horizontal="left" vertical="center"/>
    </xf>
    <xf numFmtId="0" fontId="1" fillId="5" borderId="5" xfId="0" applyFont="1" applyFill="1" applyBorder="1" applyAlignment="1">
      <alignment horizontal="left" vertical="center"/>
    </xf>
    <xf numFmtId="0" fontId="8" fillId="5" borderId="1" xfId="1" applyFill="1" applyBorder="1" applyAlignment="1" applyProtection="1">
      <alignment wrapText="1"/>
    </xf>
    <xf numFmtId="14" fontId="5" fillId="13" borderId="1" xfId="0" applyNumberFormat="1" applyFont="1" applyFill="1" applyBorder="1" applyAlignment="1">
      <alignment horizontal="left" vertical="center" wrapText="1"/>
    </xf>
    <xf numFmtId="0" fontId="1" fillId="13" borderId="1" xfId="0" applyFont="1" applyFill="1" applyBorder="1" applyAlignment="1">
      <alignment horizontal="left" vertical="center" wrapText="1"/>
    </xf>
    <xf numFmtId="0" fontId="5" fillId="16" borderId="1" xfId="0" applyFont="1" applyFill="1" applyBorder="1" applyAlignment="1">
      <alignment horizontal="left" vertical="center" wrapText="1"/>
    </xf>
    <xf numFmtId="0" fontId="5" fillId="15" borderId="1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20" fillId="5" borderId="1" xfId="0" applyFont="1" applyFill="1" applyBorder="1" applyAlignment="1">
      <alignment vertical="center" wrapText="1"/>
    </xf>
    <xf numFmtId="0" fontId="22" fillId="5" borderId="1" xfId="0" applyFont="1" applyFill="1" applyBorder="1" applyAlignment="1">
      <alignment horizontal="center" vertical="center" wrapText="1"/>
    </xf>
    <xf numFmtId="0" fontId="9" fillId="5" borderId="0" xfId="0" applyFont="1" applyFill="1" applyAlignment="1">
      <alignment horizontal="left" vertical="center"/>
    </xf>
    <xf numFmtId="0" fontId="2" fillId="7" borderId="4" xfId="0" applyFont="1" applyFill="1" applyBorder="1" applyAlignment="1">
      <alignment horizontal="center" vertical="center"/>
    </xf>
    <xf numFmtId="0" fontId="10" fillId="5" borderId="0" xfId="0" applyFont="1" applyFill="1" applyAlignment="1">
      <alignment horizontal="left" vertical="center"/>
    </xf>
    <xf numFmtId="0" fontId="1" fillId="17" borderId="1" xfId="0" applyFont="1" applyFill="1" applyBorder="1" applyAlignment="1">
      <alignment vertical="center"/>
    </xf>
    <xf numFmtId="0" fontId="19" fillId="5" borderId="8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left" vertical="center" wrapText="1"/>
    </xf>
    <xf numFmtId="0" fontId="1" fillId="5" borderId="7" xfId="0" applyFont="1" applyFill="1" applyBorder="1" applyAlignment="1">
      <alignment horizontal="left" vertical="center"/>
    </xf>
    <xf numFmtId="0" fontId="1" fillId="5" borderId="8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vertical="center"/>
    </xf>
    <xf numFmtId="3" fontId="1" fillId="6" borderId="1" xfId="0" applyNumberFormat="1" applyFont="1" applyFill="1" applyBorder="1" applyAlignment="1">
      <alignment horizontal="left" vertical="center" wrapText="1"/>
    </xf>
    <xf numFmtId="3" fontId="1" fillId="5" borderId="1" xfId="0" applyNumberFormat="1" applyFont="1" applyFill="1" applyBorder="1" applyAlignment="1">
      <alignment horizontal="left" vertical="center"/>
    </xf>
    <xf numFmtId="0" fontId="18" fillId="5" borderId="11" xfId="0" applyFont="1" applyFill="1" applyBorder="1" applyAlignment="1">
      <alignment horizontal="center" vertical="center" wrapText="1"/>
    </xf>
    <xf numFmtId="0" fontId="23" fillId="0" borderId="1" xfId="1" applyFont="1" applyBorder="1" applyAlignment="1" applyProtection="1">
      <alignment horizontal="center" vertical="center"/>
    </xf>
    <xf numFmtId="0" fontId="23" fillId="11" borderId="1" xfId="1" applyFont="1" applyFill="1" applyBorder="1" applyAlignment="1" applyProtection="1">
      <alignment horizontal="center" vertical="center"/>
    </xf>
    <xf numFmtId="0" fontId="23" fillId="0" borderId="1" xfId="1" applyFont="1" applyFill="1" applyBorder="1" applyAlignment="1" applyProtection="1">
      <alignment horizontal="center" vertical="center"/>
    </xf>
    <xf numFmtId="0" fontId="2" fillId="5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18" fillId="5" borderId="9" xfId="0" applyFont="1" applyFill="1" applyBorder="1" applyAlignment="1">
      <alignment horizontal="center" vertical="center" wrapText="1"/>
    </xf>
    <xf numFmtId="0" fontId="18" fillId="5" borderId="10" xfId="0" applyFont="1" applyFill="1" applyBorder="1" applyAlignment="1">
      <alignment horizontal="center" vertical="center" wrapText="1"/>
    </xf>
    <xf numFmtId="0" fontId="18" fillId="5" borderId="11" xfId="0" applyFont="1" applyFill="1" applyBorder="1" applyAlignment="1">
      <alignment horizontal="center"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7E0021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FF3366"/>
      <rgbColor rgb="00E6E6E6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CCCC00"/>
      <rgbColor rgb="00FFCC00"/>
      <rgbColor rgb="00FF9900"/>
      <rgbColor rgb="00EB613D"/>
      <rgbColor rgb="00666699"/>
      <rgbColor rgb="00969696"/>
      <rgbColor rgb="00003366"/>
      <rgbColor rgb="00339966"/>
      <rgbColor rgb="00003300"/>
      <rgbColor rgb="00333300"/>
      <rgbColor rgb="00DC2300"/>
      <rgbColor rgb="00993366"/>
      <rgbColor rgb="00333399"/>
      <rgbColor rgb="001A1A1A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amel.benfredj@fst.rnu.tn%20;amel.benfredj@gmail.com" TargetMode="External"/><Relationship Id="rId21" Type="http://schemas.openxmlformats.org/officeDocument/2006/relationships/hyperlink" Target="mailto:mohamedfaouzi.zid@fst.rnu.tn" TargetMode="External"/><Relationship Id="rId42" Type="http://schemas.openxmlformats.org/officeDocument/2006/relationships/hyperlink" Target="mailto:zied.jemai@enit.utm.tn" TargetMode="External"/><Relationship Id="rId47" Type="http://schemas.openxmlformats.org/officeDocument/2006/relationships/hyperlink" Target="mailto:tarek.bennasrallah@fst.utm.tn" TargetMode="External"/><Relationship Id="rId63" Type="http://schemas.openxmlformats.org/officeDocument/2006/relationships/hyperlink" Target="mailto:maher.kharrat@fmt.rnu.tn" TargetMode="External"/><Relationship Id="rId68" Type="http://schemas.openxmlformats.org/officeDocument/2006/relationships/hyperlink" Target="mailto:dalila.elhmaidi@fst.utm.tn" TargetMode="External"/><Relationship Id="rId84" Type="http://schemas.openxmlformats.org/officeDocument/2006/relationships/hyperlink" Target="http://www.pasteur.tn/lr-16-ipt-09" TargetMode="External"/><Relationship Id="rId16" Type="http://schemas.openxmlformats.org/officeDocument/2006/relationships/hyperlink" Target="mailto:sadfi.najla@gmail.com" TargetMode="External"/><Relationship Id="rId11" Type="http://schemas.openxmlformats.org/officeDocument/2006/relationships/hyperlink" Target="mailto:safouane.benaissa@univmed.fr%20;" TargetMode="External"/><Relationship Id="rId32" Type="http://schemas.openxmlformats.org/officeDocument/2006/relationships/hyperlink" Target="mailto:slim.tayachi@fst.rnu.tn" TargetMode="External"/><Relationship Id="rId37" Type="http://schemas.openxmlformats.org/officeDocument/2006/relationships/hyperlink" Target="mailto:noureddinebesrour@yahoo.frgazdallah,m@gmail,com" TargetMode="External"/><Relationship Id="rId53" Type="http://schemas.openxmlformats.org/officeDocument/2006/relationships/hyperlink" Target="mailto:hatem.kanfoudi@enit.utm.tn" TargetMode="External"/><Relationship Id="rId58" Type="http://schemas.openxmlformats.org/officeDocument/2006/relationships/hyperlink" Target="mailto:mayari75@yahoo.fr" TargetMode="External"/><Relationship Id="rId74" Type="http://schemas.openxmlformats.org/officeDocument/2006/relationships/hyperlink" Target="mailto:ali.bouattour@pasteur.tn" TargetMode="External"/><Relationship Id="rId79" Type="http://schemas.openxmlformats.org/officeDocument/2006/relationships/hyperlink" Target="http://www.pasteur.tn/lr-16-ipt-07" TargetMode="External"/><Relationship Id="rId5" Type="http://schemas.openxmlformats.org/officeDocument/2006/relationships/hyperlink" Target="mailto:jamel.neji@enit.utm.tn" TargetMode="External"/><Relationship Id="rId19" Type="http://schemas.openxmlformats.org/officeDocument/2006/relationships/hyperlink" Target="mailto:sami.aouadi@yahoo.fr" TargetMode="External"/><Relationship Id="rId14" Type="http://schemas.openxmlformats.org/officeDocument/2006/relationships/hyperlink" Target="mailto:safia.belghith@enit.rnu.tn;safya.belghith@enit.utm.tn" TargetMode="External"/><Relationship Id="rId22" Type="http://schemas.openxmlformats.org/officeDocument/2006/relationships/hyperlink" Target="mailto:faouzi.bouani@insat.rnu.tn" TargetMode="External"/><Relationship Id="rId27" Type="http://schemas.openxmlformats.org/officeDocument/2006/relationships/hyperlink" Target="mailto:dorra.bourguiba@fst.rnu.tn" TargetMode="External"/><Relationship Id="rId30" Type="http://schemas.openxmlformats.org/officeDocument/2006/relationships/hyperlink" Target="mailto:adel.aschi@fst.utm.tn" TargetMode="External"/><Relationship Id="rId35" Type="http://schemas.openxmlformats.org/officeDocument/2006/relationships/hyperlink" Target="mailto:fatma.marrakchicharfi@fsegt.utm.tn" TargetMode="External"/><Relationship Id="rId43" Type="http://schemas.openxmlformats.org/officeDocument/2006/relationships/hyperlink" Target="mailto:samia.zouaoui@fsegt.utm.tn" TargetMode="External"/><Relationship Id="rId48" Type="http://schemas.openxmlformats.org/officeDocument/2006/relationships/hyperlink" Target="mailto:fetheddine.melki@fst.utm.tn" TargetMode="External"/><Relationship Id="rId56" Type="http://schemas.openxmlformats.org/officeDocument/2006/relationships/hyperlink" Target="mailto:sonia.djaziri-larbi@enit.utm.tn" TargetMode="External"/><Relationship Id="rId64" Type="http://schemas.openxmlformats.org/officeDocument/2006/relationships/hyperlink" Target="mailto:khaled.jelassi@enit.utm.tn" TargetMode="External"/><Relationship Id="rId69" Type="http://schemas.openxmlformats.org/officeDocument/2006/relationships/hyperlink" Target="mailto:mohamed.chagraoui@issht.utm.tn" TargetMode="External"/><Relationship Id="rId77" Type="http://schemas.openxmlformats.org/officeDocument/2006/relationships/hyperlink" Target="http://www.pasteur.tn/lr-16-ipt-03" TargetMode="External"/><Relationship Id="rId8" Type="http://schemas.openxmlformats.org/officeDocument/2006/relationships/hyperlink" Target="http://www.enit.rnu.tn/recherche" TargetMode="External"/><Relationship Id="rId51" Type="http://schemas.openxmlformats.org/officeDocument/2006/relationships/hyperlink" Target="mailto:fethi.mahmoudi@fst.rnu.utm.tn" TargetMode="External"/><Relationship Id="rId72" Type="http://schemas.openxmlformats.org/officeDocument/2006/relationships/hyperlink" Target="mailto:najet.abidsrairi@pasteur.tn" TargetMode="External"/><Relationship Id="rId80" Type="http://schemas.openxmlformats.org/officeDocument/2006/relationships/hyperlink" Target="http://www.pasteur.tn/lr-20-ipt-01" TargetMode="External"/><Relationship Id="rId85" Type="http://schemas.openxmlformats.org/officeDocument/2006/relationships/hyperlink" Target="http://www.pasteur.tn/lr-20-ipt-02" TargetMode="External"/><Relationship Id="rId3" Type="http://schemas.openxmlformats.org/officeDocument/2006/relationships/hyperlink" Target="http://www.enit.rnu.tn/recherche" TargetMode="External"/><Relationship Id="rId12" Type="http://schemas.openxmlformats.org/officeDocument/2006/relationships/hyperlink" Target="mailto:benrached.kaouther@yahoo.fr%20;" TargetMode="External"/><Relationship Id="rId17" Type="http://schemas.openxmlformats.org/officeDocument/2006/relationships/hyperlink" Target="mailto:medlotfi.efrit@gmail.com" TargetMode="External"/><Relationship Id="rId25" Type="http://schemas.openxmlformats.org/officeDocument/2006/relationships/hyperlink" Target="mailto:najeh.mliki@fst.utm.tn;naji.thabet@gmail.com" TargetMode="External"/><Relationship Id="rId33" Type="http://schemas.openxmlformats.org/officeDocument/2006/relationships/hyperlink" Target="mailto:knasri@planet.tn" TargetMode="External"/><Relationship Id="rId38" Type="http://schemas.openxmlformats.org/officeDocument/2006/relationships/hyperlink" Target="mailto:chiraz_ch2001@yahoo.fr" TargetMode="External"/><Relationship Id="rId46" Type="http://schemas.openxmlformats.org/officeDocument/2006/relationships/hyperlink" Target="mailto:sondes.stambouli@fst.utm.tn" TargetMode="External"/><Relationship Id="rId59" Type="http://schemas.openxmlformats.org/officeDocument/2006/relationships/hyperlink" Target="http://www.enit.rnu.tn/recherche" TargetMode="External"/><Relationship Id="rId67" Type="http://schemas.openxmlformats.org/officeDocument/2006/relationships/hyperlink" Target="mailto:asma.gati@fst.utm.tn" TargetMode="External"/><Relationship Id="rId20" Type="http://schemas.openxmlformats.org/officeDocument/2006/relationships/hyperlink" Target="mailto:mohsen.elkhouni@issht.utm.tn" TargetMode="External"/><Relationship Id="rId41" Type="http://schemas.openxmlformats.org/officeDocument/2006/relationships/hyperlink" Target="mailto:karim.miled@enit.utm.tn" TargetMode="External"/><Relationship Id="rId54" Type="http://schemas.openxmlformats.org/officeDocument/2006/relationships/hyperlink" Target="mailto:w.benmrad@yahoo.fr" TargetMode="External"/><Relationship Id="rId62" Type="http://schemas.openxmlformats.org/officeDocument/2006/relationships/hyperlink" Target="mailto:monssef.feki@gmail.com" TargetMode="External"/><Relationship Id="rId70" Type="http://schemas.openxmlformats.org/officeDocument/2006/relationships/hyperlink" Target="mailto:asma.ferjani@fmt.utm.tn" TargetMode="External"/><Relationship Id="rId75" Type="http://schemas.openxmlformats.org/officeDocument/2006/relationships/hyperlink" Target="mailto:mohamed.mousli@pasteur.utm.tn" TargetMode="External"/><Relationship Id="rId83" Type="http://schemas.openxmlformats.org/officeDocument/2006/relationships/hyperlink" Target="http://www.pasteur.tn/lr-16-ipt-06" TargetMode="External"/><Relationship Id="rId1" Type="http://schemas.openxmlformats.org/officeDocument/2006/relationships/hyperlink" Target="http://www.enit.rnu.tn/recherche" TargetMode="External"/><Relationship Id="rId6" Type="http://schemas.openxmlformats.org/officeDocument/2006/relationships/hyperlink" Target="http://www.enit.rnu.tn/recherche" TargetMode="External"/><Relationship Id="rId15" Type="http://schemas.openxmlformats.org/officeDocument/2006/relationships/hyperlink" Target="mailto:ezzeddine.zagrouba@fsm.rnu.tn;e.zagrouba@gmail.com" TargetMode="External"/><Relationship Id="rId23" Type="http://schemas.openxmlformats.org/officeDocument/2006/relationships/hyperlink" Target="mailto:benmessaoud.kamel@yahoo.fr" TargetMode="External"/><Relationship Id="rId28" Type="http://schemas.openxmlformats.org/officeDocument/2006/relationships/hyperlink" Target="mailto:lakhdartannech.rachdi@fst.rnu.tn" TargetMode="External"/><Relationship Id="rId36" Type="http://schemas.openxmlformats.org/officeDocument/2006/relationships/hyperlink" Target="mailto:fbameur@gmail,com" TargetMode="External"/><Relationship Id="rId49" Type="http://schemas.openxmlformats.org/officeDocument/2006/relationships/hyperlink" Target="mailto:Essaieb@yahoo.fr" TargetMode="External"/><Relationship Id="rId57" Type="http://schemas.openxmlformats.org/officeDocument/2006/relationships/hyperlink" Target="mailto:abada.mhamdi@fmt.utm.tn" TargetMode="External"/><Relationship Id="rId10" Type="http://schemas.openxmlformats.org/officeDocument/2006/relationships/hyperlink" Target="http://www.urdri.fdspt.rnu.tn/" TargetMode="External"/><Relationship Id="rId31" Type="http://schemas.openxmlformats.org/officeDocument/2006/relationships/hyperlink" Target="mailto:ali.gharsallah@gmail.com" TargetMode="External"/><Relationship Id="rId44" Type="http://schemas.openxmlformats.org/officeDocument/2006/relationships/hyperlink" Target="mailto:nadhirbenammou@gmail.com" TargetMode="External"/><Relationship Id="rId52" Type="http://schemas.openxmlformats.org/officeDocument/2006/relationships/hyperlink" Target="mailto:Saloua.Mani@fst.utm.tn" TargetMode="External"/><Relationship Id="rId60" Type="http://schemas.openxmlformats.org/officeDocument/2006/relationships/hyperlink" Target="mailto:dr.samiabensassi@gmail.com" TargetMode="External"/><Relationship Id="rId65" Type="http://schemas.openxmlformats.org/officeDocument/2006/relationships/hyperlink" Target="mailto:tarek.mabrouki@enit.utm.tn" TargetMode="External"/><Relationship Id="rId73" Type="http://schemas.openxmlformats.org/officeDocument/2006/relationships/hyperlink" Target="mailto:Dhafer.Laouini@pasteur.tn" TargetMode="External"/><Relationship Id="rId78" Type="http://schemas.openxmlformats.org/officeDocument/2006/relationships/hyperlink" Target="http://www.pasteur.tn/lr-16-ipt-05" TargetMode="External"/><Relationship Id="rId81" Type="http://schemas.openxmlformats.org/officeDocument/2006/relationships/hyperlink" Target="http://www.pasteur.tn/lr-16-ipt-02" TargetMode="External"/><Relationship Id="rId86" Type="http://schemas.openxmlformats.org/officeDocument/2006/relationships/printerSettings" Target="../printerSettings/printerSettings1.bin"/><Relationship Id="rId4" Type="http://schemas.openxmlformats.org/officeDocument/2006/relationships/hyperlink" Target="http://www.enit.rnu.tn/recherche" TargetMode="External"/><Relationship Id="rId9" Type="http://schemas.openxmlformats.org/officeDocument/2006/relationships/hyperlink" Target="http://www.enit.rnu.tn/recherche" TargetMode="External"/><Relationship Id="rId13" Type="http://schemas.openxmlformats.org/officeDocument/2006/relationships/hyperlink" Target="mailto:hatem.rouatbi@gmail.com" TargetMode="External"/><Relationship Id="rId18" Type="http://schemas.openxmlformats.org/officeDocument/2006/relationships/hyperlink" Target="mailto:sami.bostanji@fdspt.utm.tn;s.bostanji@gmail.com" TargetMode="External"/><Relationship Id="rId39" Type="http://schemas.openxmlformats.org/officeDocument/2006/relationships/hyperlink" Target="mailto:sihem.bahri@fst.utm.tn" TargetMode="External"/><Relationship Id="rId34" Type="http://schemas.openxmlformats.org/officeDocument/2006/relationships/hyperlink" Target="mailto:atherina2002@yahoo.fr" TargetMode="External"/><Relationship Id="rId50" Type="http://schemas.openxmlformats.org/officeDocument/2006/relationships/hyperlink" Target="mailto:hella.kaffel@fst.utm.tn" TargetMode="External"/><Relationship Id="rId55" Type="http://schemas.openxmlformats.org/officeDocument/2006/relationships/hyperlink" Target="mailto:rammehs@yahoo.fr" TargetMode="External"/><Relationship Id="rId76" Type="http://schemas.openxmlformats.org/officeDocument/2006/relationships/hyperlink" Target="http://www.pasteur.tn/lr-16-ipt-01" TargetMode="External"/><Relationship Id="rId7" Type="http://schemas.openxmlformats.org/officeDocument/2006/relationships/hyperlink" Target="http://www.enit.rnu.tn/recherche" TargetMode="External"/><Relationship Id="rId71" Type="http://schemas.openxmlformats.org/officeDocument/2006/relationships/hyperlink" Target="mailto:Abderrazak.Maaroufi@pasteur.tn" TargetMode="External"/><Relationship Id="rId2" Type="http://schemas.openxmlformats.org/officeDocument/2006/relationships/hyperlink" Target="http://www.enit.rnu.tn/recherche" TargetMode="External"/><Relationship Id="rId29" Type="http://schemas.openxmlformats.org/officeDocument/2006/relationships/hyperlink" Target="mailto:rached.benhassen@issbat.utm.tn" TargetMode="External"/><Relationship Id="rId24" Type="http://schemas.openxmlformats.org/officeDocument/2006/relationships/hyperlink" Target="mailto:lachiri.z@gmail," TargetMode="External"/><Relationship Id="rId40" Type="http://schemas.openxmlformats.org/officeDocument/2006/relationships/hyperlink" Target="mailto:mourad.telmini@fst.utm.tn" TargetMode="External"/><Relationship Id="rId45" Type="http://schemas.openxmlformats.org/officeDocument/2006/relationships/hyperlink" Target="mailto:lakdar_kairouani@yahoo.fr" TargetMode="External"/><Relationship Id="rId66" Type="http://schemas.openxmlformats.org/officeDocument/2006/relationships/hyperlink" Target="mailto:salwa.zehdi@fst.utm.tn" TargetMode="External"/><Relationship Id="rId61" Type="http://schemas.openxmlformats.org/officeDocument/2006/relationships/hyperlink" Target="mailto:riadh.allani@fmt.utm.tn" TargetMode="External"/><Relationship Id="rId82" Type="http://schemas.openxmlformats.org/officeDocument/2006/relationships/hyperlink" Target="http://www.pasteur.tn/lr-16-ipt-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14"/>
  <sheetViews>
    <sheetView tabSelected="1" view="pageBreakPreview" zoomScale="78" zoomScaleNormal="70" zoomScaleSheetLayoutView="78" workbookViewId="0">
      <selection activeCell="G6" sqref="G6"/>
    </sheetView>
  </sheetViews>
  <sheetFormatPr baseColWidth="10" defaultColWidth="11.5546875" defaultRowHeight="39.75" customHeight="1"/>
  <cols>
    <col min="1" max="1" width="4" style="3" bestFit="1" customWidth="1"/>
    <col min="2" max="2" width="5.21875" style="3" bestFit="1" customWidth="1"/>
    <col min="3" max="3" width="6.77734375" style="3" customWidth="1"/>
    <col min="4" max="4" width="4.44140625" style="3" customWidth="1"/>
    <col min="5" max="5" width="35.44140625" style="6" customWidth="1"/>
    <col min="6" max="6" width="31.6640625" style="6" customWidth="1"/>
    <col min="7" max="7" width="34.5546875" style="3" customWidth="1"/>
    <col min="8" max="8" width="11.33203125" style="3" customWidth="1"/>
    <col min="9" max="9" width="19.77734375" style="16" customWidth="1"/>
    <col min="10" max="10" width="15.6640625" style="16" hidden="1" customWidth="1"/>
    <col min="11" max="11" width="32.21875" style="3" bestFit="1" customWidth="1"/>
    <col min="12" max="12" width="10.5546875" style="3" hidden="1" customWidth="1"/>
    <col min="13" max="13" width="14.44140625" style="18" hidden="1" customWidth="1"/>
    <col min="14" max="14" width="14" style="3" hidden="1" customWidth="1"/>
    <col min="15" max="15" width="42.88671875" style="3" customWidth="1"/>
    <col min="16" max="16" width="36.44140625" style="3" customWidth="1"/>
    <col min="17" max="17" width="59.5546875" style="146" hidden="1" customWidth="1"/>
    <col min="18" max="18" width="15.21875" style="3" hidden="1" customWidth="1"/>
    <col min="19" max="16384" width="11.5546875" style="3"/>
  </cols>
  <sheetData>
    <row r="1" spans="1:18" s="2" customFormat="1" ht="27.75" customHeight="1">
      <c r="E1" s="17" t="s">
        <v>142</v>
      </c>
      <c r="F1" s="29"/>
      <c r="G1" s="29"/>
      <c r="H1" s="9"/>
      <c r="I1" s="14"/>
      <c r="J1" s="14"/>
      <c r="K1" s="9"/>
      <c r="L1" s="159"/>
      <c r="M1" s="159"/>
      <c r="N1" s="159"/>
      <c r="O1" s="122"/>
      <c r="P1" s="2" t="s">
        <v>438</v>
      </c>
      <c r="Q1" s="144"/>
    </row>
    <row r="2" spans="1:18" s="2" customFormat="1" ht="22.5" customHeight="1">
      <c r="E2" s="94" t="s">
        <v>0</v>
      </c>
      <c r="F2" s="4"/>
      <c r="G2" s="4"/>
      <c r="H2" s="10"/>
      <c r="I2" s="15"/>
      <c r="J2" s="15"/>
      <c r="K2" s="13"/>
      <c r="L2" s="160"/>
      <c r="M2" s="160"/>
      <c r="N2" s="160"/>
      <c r="O2" s="125"/>
      <c r="P2" s="2" t="s">
        <v>439</v>
      </c>
      <c r="Q2" s="144"/>
    </row>
    <row r="3" spans="1:18" s="2" customFormat="1" ht="15.75" customHeight="1">
      <c r="E3" s="95" t="s">
        <v>635</v>
      </c>
      <c r="F3" s="4"/>
      <c r="G3" s="4"/>
      <c r="H3" s="11"/>
      <c r="I3" s="14"/>
      <c r="J3" s="14"/>
      <c r="K3" s="4"/>
      <c r="L3" s="4"/>
      <c r="M3" s="17"/>
      <c r="N3" s="4"/>
      <c r="O3" s="124"/>
      <c r="P3" s="2" t="s">
        <v>437</v>
      </c>
      <c r="Q3" s="144"/>
    </row>
    <row r="4" spans="1:18" s="2" customFormat="1" ht="16.5" customHeight="1" thickBot="1">
      <c r="E4" s="4"/>
      <c r="F4" s="4"/>
      <c r="G4" s="4"/>
      <c r="H4" s="4"/>
      <c r="I4" s="14"/>
      <c r="J4" s="14"/>
      <c r="K4" s="4"/>
      <c r="L4" s="4"/>
      <c r="M4" s="17"/>
      <c r="N4" s="4"/>
      <c r="Q4" s="144"/>
    </row>
    <row r="5" spans="1:18" s="5" customFormat="1" ht="39.75" customHeight="1">
      <c r="A5" s="141" t="s">
        <v>1</v>
      </c>
      <c r="B5" s="103" t="s">
        <v>2</v>
      </c>
      <c r="C5" s="104" t="s">
        <v>3</v>
      </c>
      <c r="D5" s="104" t="s">
        <v>574</v>
      </c>
      <c r="E5" s="105" t="s">
        <v>4</v>
      </c>
      <c r="F5" s="105" t="s">
        <v>5</v>
      </c>
      <c r="G5" s="105" t="s">
        <v>284</v>
      </c>
      <c r="H5" s="105" t="s">
        <v>6</v>
      </c>
      <c r="I5" s="105" t="s">
        <v>7</v>
      </c>
      <c r="J5" s="105" t="s">
        <v>344</v>
      </c>
      <c r="K5" s="105" t="s">
        <v>8</v>
      </c>
      <c r="L5" s="105" t="s">
        <v>9</v>
      </c>
      <c r="M5" s="105" t="s">
        <v>10</v>
      </c>
      <c r="N5" s="105" t="s">
        <v>11</v>
      </c>
      <c r="O5" s="104" t="s">
        <v>12</v>
      </c>
      <c r="P5" s="104" t="s">
        <v>13</v>
      </c>
      <c r="Q5" s="145" t="s">
        <v>149</v>
      </c>
      <c r="R5" s="104" t="s">
        <v>151</v>
      </c>
    </row>
    <row r="6" spans="1:18" s="1" customFormat="1" ht="43.5" customHeight="1">
      <c r="A6" s="96">
        <v>1</v>
      </c>
      <c r="B6" s="106">
        <v>1</v>
      </c>
      <c r="C6" s="21" t="s">
        <v>14</v>
      </c>
      <c r="D6" s="21" t="s">
        <v>15</v>
      </c>
      <c r="E6" s="22" t="s">
        <v>16</v>
      </c>
      <c r="F6" s="22" t="s">
        <v>17</v>
      </c>
      <c r="G6" s="129" t="s">
        <v>451</v>
      </c>
      <c r="H6" s="22" t="s">
        <v>18</v>
      </c>
      <c r="I6" s="31" t="s">
        <v>518</v>
      </c>
      <c r="J6" s="32">
        <v>43802</v>
      </c>
      <c r="K6" s="45" t="s">
        <v>515</v>
      </c>
      <c r="L6" s="22" t="s">
        <v>298</v>
      </c>
      <c r="M6" s="33">
        <v>98435068</v>
      </c>
      <c r="N6" s="22">
        <v>71872729</v>
      </c>
      <c r="O6" s="21" t="s">
        <v>19</v>
      </c>
      <c r="P6" s="34" t="s">
        <v>20</v>
      </c>
      <c r="Q6" s="107" t="s">
        <v>519</v>
      </c>
      <c r="R6" s="22"/>
    </row>
    <row r="7" spans="1:18" ht="39.75" customHeight="1">
      <c r="A7" s="96">
        <f t="shared" ref="A7:A18" si="0">A6+1</f>
        <v>2</v>
      </c>
      <c r="B7" s="106">
        <f t="shared" ref="B7:B18" si="1">B6+1</f>
        <v>2</v>
      </c>
      <c r="C7" s="21" t="s">
        <v>14</v>
      </c>
      <c r="D7" s="21" t="s">
        <v>15</v>
      </c>
      <c r="E7" s="22" t="s">
        <v>16</v>
      </c>
      <c r="F7" s="22" t="s">
        <v>21</v>
      </c>
      <c r="G7" s="129" t="s">
        <v>452</v>
      </c>
      <c r="H7" s="22" t="s">
        <v>22</v>
      </c>
      <c r="I7" s="35" t="s">
        <v>532</v>
      </c>
      <c r="J7" s="137"/>
      <c r="K7" s="28" t="s">
        <v>531</v>
      </c>
      <c r="L7" s="28" t="s">
        <v>534</v>
      </c>
      <c r="M7" s="33"/>
      <c r="N7" s="22">
        <v>71871022</v>
      </c>
      <c r="O7" s="21" t="s">
        <v>19</v>
      </c>
      <c r="P7" s="34" t="s">
        <v>157</v>
      </c>
      <c r="Q7" s="107" t="s">
        <v>533</v>
      </c>
      <c r="R7" s="22"/>
    </row>
    <row r="8" spans="1:18" s="1" customFormat="1" ht="39.75" customHeight="1">
      <c r="A8" s="96">
        <f t="shared" si="0"/>
        <v>3</v>
      </c>
      <c r="B8" s="106">
        <f t="shared" si="1"/>
        <v>3</v>
      </c>
      <c r="C8" s="21" t="s">
        <v>14</v>
      </c>
      <c r="D8" s="21" t="s">
        <v>15</v>
      </c>
      <c r="E8" s="22" t="s">
        <v>16</v>
      </c>
      <c r="F8" s="22" t="s">
        <v>23</v>
      </c>
      <c r="G8" s="129" t="s">
        <v>453</v>
      </c>
      <c r="H8" s="22" t="s">
        <v>24</v>
      </c>
      <c r="I8" s="35" t="s">
        <v>25</v>
      </c>
      <c r="J8" s="36">
        <v>41816</v>
      </c>
      <c r="K8" s="37" t="s">
        <v>26</v>
      </c>
      <c r="L8" s="22">
        <v>71874700</v>
      </c>
      <c r="M8" s="33">
        <v>96133040</v>
      </c>
      <c r="N8" s="22">
        <v>71872729</v>
      </c>
      <c r="O8" s="21" t="s">
        <v>19</v>
      </c>
      <c r="P8" s="34" t="s">
        <v>20</v>
      </c>
      <c r="Q8" s="107"/>
      <c r="R8" s="22"/>
    </row>
    <row r="9" spans="1:18" ht="39.75" customHeight="1">
      <c r="A9" s="96">
        <f t="shared" si="0"/>
        <v>4</v>
      </c>
      <c r="B9" s="106">
        <f t="shared" si="1"/>
        <v>4</v>
      </c>
      <c r="C9" s="21" t="s">
        <v>14</v>
      </c>
      <c r="D9" s="21" t="s">
        <v>15</v>
      </c>
      <c r="E9" s="22" t="s">
        <v>16</v>
      </c>
      <c r="F9" s="22" t="s">
        <v>27</v>
      </c>
      <c r="G9" s="127" t="s">
        <v>338</v>
      </c>
      <c r="H9" s="22" t="s">
        <v>28</v>
      </c>
      <c r="I9" s="31" t="s">
        <v>336</v>
      </c>
      <c r="J9" s="31" t="s">
        <v>340</v>
      </c>
      <c r="K9" s="38" t="s">
        <v>374</v>
      </c>
      <c r="L9" s="22">
        <v>71875726</v>
      </c>
      <c r="M9" s="39">
        <v>23667133</v>
      </c>
      <c r="N9" s="22">
        <v>71875726</v>
      </c>
      <c r="O9" s="21" t="s">
        <v>19</v>
      </c>
      <c r="P9" s="34" t="s">
        <v>20</v>
      </c>
      <c r="Q9" s="107" t="s">
        <v>337</v>
      </c>
      <c r="R9" s="22"/>
    </row>
    <row r="10" spans="1:18" ht="45.75" customHeight="1">
      <c r="A10" s="96">
        <f t="shared" si="0"/>
        <v>5</v>
      </c>
      <c r="B10" s="106">
        <f t="shared" si="1"/>
        <v>5</v>
      </c>
      <c r="C10" s="21" t="s">
        <v>14</v>
      </c>
      <c r="D10" s="21" t="s">
        <v>15</v>
      </c>
      <c r="E10" s="22" t="s">
        <v>16</v>
      </c>
      <c r="F10" s="22" t="s">
        <v>29</v>
      </c>
      <c r="G10" s="129" t="s">
        <v>454</v>
      </c>
      <c r="H10" s="22" t="s">
        <v>30</v>
      </c>
      <c r="I10" s="140" t="s">
        <v>633</v>
      </c>
      <c r="J10" s="32">
        <v>42611</v>
      </c>
      <c r="K10" s="45" t="s">
        <v>569</v>
      </c>
      <c r="L10" s="22">
        <v>71874700</v>
      </c>
      <c r="M10" s="33"/>
      <c r="N10" s="22">
        <v>71872729</v>
      </c>
      <c r="O10" s="21" t="s">
        <v>19</v>
      </c>
      <c r="P10" s="34" t="s">
        <v>20</v>
      </c>
      <c r="Q10" s="107" t="s">
        <v>568</v>
      </c>
      <c r="R10" s="37"/>
    </row>
    <row r="11" spans="1:18" ht="39.75" customHeight="1">
      <c r="A11" s="96">
        <f t="shared" si="0"/>
        <v>6</v>
      </c>
      <c r="B11" s="106">
        <f t="shared" si="1"/>
        <v>6</v>
      </c>
      <c r="C11" s="21" t="s">
        <v>14</v>
      </c>
      <c r="D11" s="21" t="s">
        <v>15</v>
      </c>
      <c r="E11" s="22" t="s">
        <v>16</v>
      </c>
      <c r="F11" s="22" t="s">
        <v>31</v>
      </c>
      <c r="G11" s="129" t="s">
        <v>410</v>
      </c>
      <c r="H11" s="22" t="s">
        <v>32</v>
      </c>
      <c r="I11" s="31" t="s">
        <v>403</v>
      </c>
      <c r="J11" s="31" t="s">
        <v>401</v>
      </c>
      <c r="K11" s="40" t="s">
        <v>409</v>
      </c>
      <c r="L11" s="41">
        <v>71872880</v>
      </c>
      <c r="M11" s="42">
        <v>55316665</v>
      </c>
      <c r="N11" s="41">
        <v>71872729</v>
      </c>
      <c r="O11" s="21" t="s">
        <v>19</v>
      </c>
      <c r="P11" s="34" t="s">
        <v>20</v>
      </c>
      <c r="Q11" s="107" t="s">
        <v>404</v>
      </c>
      <c r="R11" s="22"/>
    </row>
    <row r="12" spans="1:18" ht="39.75" customHeight="1">
      <c r="A12" s="96">
        <f t="shared" si="0"/>
        <v>7</v>
      </c>
      <c r="B12" s="106">
        <f t="shared" si="1"/>
        <v>7</v>
      </c>
      <c r="C12" s="21" t="s">
        <v>14</v>
      </c>
      <c r="D12" s="21" t="s">
        <v>15</v>
      </c>
      <c r="E12" s="22" t="s">
        <v>16</v>
      </c>
      <c r="F12" s="22" t="s">
        <v>33</v>
      </c>
      <c r="G12" s="129" t="s">
        <v>455</v>
      </c>
      <c r="H12" s="22" t="s">
        <v>34</v>
      </c>
      <c r="I12" s="31" t="s">
        <v>220</v>
      </c>
      <c r="J12" s="32">
        <v>43382</v>
      </c>
      <c r="K12" s="43" t="s">
        <v>231</v>
      </c>
      <c r="L12" s="22">
        <v>71874700</v>
      </c>
      <c r="M12" s="33">
        <v>98650832</v>
      </c>
      <c r="N12" s="22">
        <v>71872729</v>
      </c>
      <c r="O12" s="21" t="s">
        <v>19</v>
      </c>
      <c r="P12" s="34" t="s">
        <v>20</v>
      </c>
      <c r="Q12" s="107" t="s">
        <v>221</v>
      </c>
      <c r="R12" s="22"/>
    </row>
    <row r="13" spans="1:18" s="1" customFormat="1" ht="39.75" customHeight="1">
      <c r="A13" s="96">
        <f t="shared" si="0"/>
        <v>8</v>
      </c>
      <c r="B13" s="106">
        <f t="shared" si="1"/>
        <v>8</v>
      </c>
      <c r="C13" s="21" t="s">
        <v>14</v>
      </c>
      <c r="D13" s="21" t="s">
        <v>15</v>
      </c>
      <c r="E13" s="22" t="s">
        <v>16</v>
      </c>
      <c r="F13" s="22" t="s">
        <v>35</v>
      </c>
      <c r="G13" s="129" t="s">
        <v>456</v>
      </c>
      <c r="H13" s="22" t="s">
        <v>36</v>
      </c>
      <c r="I13" s="31" t="s">
        <v>327</v>
      </c>
      <c r="J13" s="31" t="s">
        <v>340</v>
      </c>
      <c r="K13" s="44" t="s">
        <v>328</v>
      </c>
      <c r="L13" s="22" t="s">
        <v>329</v>
      </c>
      <c r="M13" s="33">
        <v>97320006</v>
      </c>
      <c r="N13" s="22">
        <v>71872729</v>
      </c>
      <c r="O13" s="21" t="s">
        <v>19</v>
      </c>
      <c r="P13" s="34" t="s">
        <v>20</v>
      </c>
      <c r="Q13" s="107" t="s">
        <v>330</v>
      </c>
      <c r="R13" s="22"/>
    </row>
    <row r="14" spans="1:18" ht="48" customHeight="1">
      <c r="A14" s="96">
        <f t="shared" si="0"/>
        <v>9</v>
      </c>
      <c r="B14" s="106">
        <f t="shared" si="1"/>
        <v>9</v>
      </c>
      <c r="C14" s="21" t="s">
        <v>14</v>
      </c>
      <c r="D14" s="21" t="s">
        <v>15</v>
      </c>
      <c r="E14" s="22" t="s">
        <v>16</v>
      </c>
      <c r="F14" s="22" t="s">
        <v>37</v>
      </c>
      <c r="G14" s="129" t="s">
        <v>457</v>
      </c>
      <c r="H14" s="22" t="s">
        <v>38</v>
      </c>
      <c r="I14" s="140" t="s">
        <v>634</v>
      </c>
      <c r="J14" s="32">
        <v>41593</v>
      </c>
      <c r="K14" s="45" t="s">
        <v>570</v>
      </c>
      <c r="L14" s="22">
        <v>71874700</v>
      </c>
      <c r="M14" s="33"/>
      <c r="N14" s="22">
        <v>71872729</v>
      </c>
      <c r="O14" s="21" t="s">
        <v>19</v>
      </c>
      <c r="P14" s="34" t="s">
        <v>20</v>
      </c>
      <c r="Q14" s="107" t="s">
        <v>571</v>
      </c>
      <c r="R14" s="22"/>
    </row>
    <row r="15" spans="1:18" s="1" customFormat="1" ht="39.75" customHeight="1">
      <c r="A15" s="96">
        <f t="shared" si="0"/>
        <v>10</v>
      </c>
      <c r="B15" s="106">
        <f t="shared" si="1"/>
        <v>10</v>
      </c>
      <c r="C15" s="21" t="s">
        <v>14</v>
      </c>
      <c r="D15" s="21" t="s">
        <v>15</v>
      </c>
      <c r="E15" s="22" t="s">
        <v>16</v>
      </c>
      <c r="F15" s="22" t="s">
        <v>39</v>
      </c>
      <c r="G15" s="129" t="s">
        <v>458</v>
      </c>
      <c r="H15" s="22" t="s">
        <v>40</v>
      </c>
      <c r="I15" s="31" t="s">
        <v>148</v>
      </c>
      <c r="J15" s="32">
        <v>41876</v>
      </c>
      <c r="K15" s="45" t="s">
        <v>232</v>
      </c>
      <c r="L15" s="22">
        <v>71874700</v>
      </c>
      <c r="M15" s="33"/>
      <c r="N15" s="22">
        <v>71872729</v>
      </c>
      <c r="O15" s="21" t="s">
        <v>19</v>
      </c>
      <c r="P15" s="34" t="s">
        <v>20</v>
      </c>
      <c r="Q15" s="107"/>
      <c r="R15" s="37"/>
    </row>
    <row r="16" spans="1:18" s="12" customFormat="1" ht="39.75" customHeight="1">
      <c r="A16" s="97">
        <f t="shared" si="0"/>
        <v>11</v>
      </c>
      <c r="B16" s="108">
        <f t="shared" si="1"/>
        <v>11</v>
      </c>
      <c r="C16" s="46" t="s">
        <v>14</v>
      </c>
      <c r="D16" s="46" t="s">
        <v>15</v>
      </c>
      <c r="E16" s="48" t="s">
        <v>16</v>
      </c>
      <c r="F16" s="48" t="s">
        <v>41</v>
      </c>
      <c r="G16" s="129" t="s">
        <v>459</v>
      </c>
      <c r="H16" s="46" t="s">
        <v>150</v>
      </c>
      <c r="I16" s="26" t="s">
        <v>417</v>
      </c>
      <c r="J16" s="47"/>
      <c r="K16" s="45" t="s">
        <v>424</v>
      </c>
      <c r="L16" s="48">
        <v>71874700</v>
      </c>
      <c r="M16" s="49">
        <v>98666408</v>
      </c>
      <c r="N16" s="48">
        <v>71872729</v>
      </c>
      <c r="O16" s="46" t="s">
        <v>19</v>
      </c>
      <c r="P16" s="46"/>
      <c r="Q16" s="107" t="s">
        <v>425</v>
      </c>
      <c r="R16" s="22"/>
    </row>
    <row r="17" spans="1:18" s="12" customFormat="1" ht="39.75" customHeight="1">
      <c r="A17" s="97">
        <f t="shared" si="0"/>
        <v>12</v>
      </c>
      <c r="B17" s="108">
        <f t="shared" si="1"/>
        <v>12</v>
      </c>
      <c r="C17" s="46" t="s">
        <v>14</v>
      </c>
      <c r="D17" s="46" t="s">
        <v>15</v>
      </c>
      <c r="E17" s="48" t="s">
        <v>16</v>
      </c>
      <c r="F17" s="48" t="s">
        <v>174</v>
      </c>
      <c r="G17" s="129" t="s">
        <v>460</v>
      </c>
      <c r="H17" s="46" t="s">
        <v>175</v>
      </c>
      <c r="I17" s="26" t="s">
        <v>176</v>
      </c>
      <c r="J17" s="47">
        <v>43382</v>
      </c>
      <c r="K17" s="45" t="s">
        <v>229</v>
      </c>
      <c r="L17" s="48">
        <v>71874700</v>
      </c>
      <c r="M17" s="49"/>
      <c r="N17" s="48">
        <v>71872729</v>
      </c>
      <c r="O17" s="46" t="s">
        <v>19</v>
      </c>
      <c r="P17" s="46"/>
      <c r="Q17" s="107"/>
      <c r="R17" s="22"/>
    </row>
    <row r="18" spans="1:18" s="12" customFormat="1" ht="59.25" customHeight="1">
      <c r="A18" s="97">
        <f t="shared" si="0"/>
        <v>13</v>
      </c>
      <c r="B18" s="108">
        <f t="shared" si="1"/>
        <v>13</v>
      </c>
      <c r="C18" s="46" t="s">
        <v>14</v>
      </c>
      <c r="D18" s="46" t="s">
        <v>15</v>
      </c>
      <c r="E18" s="48" t="s">
        <v>16</v>
      </c>
      <c r="F18" s="48" t="s">
        <v>317</v>
      </c>
      <c r="G18" s="127" t="s">
        <v>318</v>
      </c>
      <c r="H18" s="46" t="s">
        <v>316</v>
      </c>
      <c r="I18" s="26" t="s">
        <v>335</v>
      </c>
      <c r="J18" s="35" t="s">
        <v>343</v>
      </c>
      <c r="K18" s="40" t="s">
        <v>375</v>
      </c>
      <c r="L18" s="48">
        <v>70014516</v>
      </c>
      <c r="M18" s="50">
        <v>22753025</v>
      </c>
      <c r="N18" s="51">
        <v>71872729</v>
      </c>
      <c r="O18" s="46" t="s">
        <v>19</v>
      </c>
      <c r="P18" s="46"/>
      <c r="Q18" s="107" t="s">
        <v>334</v>
      </c>
      <c r="R18" s="28"/>
    </row>
    <row r="19" spans="1:18" s="12" customFormat="1" ht="57" customHeight="1">
      <c r="A19" s="97">
        <f t="shared" ref="A19:B21" si="2">A18+1</f>
        <v>14</v>
      </c>
      <c r="B19" s="108">
        <f t="shared" si="2"/>
        <v>14</v>
      </c>
      <c r="C19" s="46" t="s">
        <v>14</v>
      </c>
      <c r="D19" s="46" t="s">
        <v>15</v>
      </c>
      <c r="E19" s="48" t="s">
        <v>16</v>
      </c>
      <c r="F19" s="48" t="s">
        <v>320</v>
      </c>
      <c r="G19" s="127" t="s">
        <v>321</v>
      </c>
      <c r="H19" s="46" t="s">
        <v>319</v>
      </c>
      <c r="I19" s="91" t="s">
        <v>572</v>
      </c>
      <c r="J19" s="35"/>
      <c r="K19" s="40" t="s">
        <v>528</v>
      </c>
      <c r="L19" s="48">
        <v>70014524</v>
      </c>
      <c r="M19" s="49">
        <v>98901006</v>
      </c>
      <c r="N19" s="48">
        <v>71872729</v>
      </c>
      <c r="O19" s="46" t="s">
        <v>19</v>
      </c>
      <c r="P19" s="46"/>
      <c r="Q19" s="107" t="s">
        <v>529</v>
      </c>
      <c r="R19" s="28"/>
    </row>
    <row r="20" spans="1:18" s="12" customFormat="1" ht="67.5" customHeight="1">
      <c r="A20" s="97">
        <f t="shared" si="2"/>
        <v>15</v>
      </c>
      <c r="B20" s="108">
        <f t="shared" si="2"/>
        <v>15</v>
      </c>
      <c r="C20" s="46" t="s">
        <v>14</v>
      </c>
      <c r="D20" s="46" t="s">
        <v>15</v>
      </c>
      <c r="E20" s="48" t="s">
        <v>16</v>
      </c>
      <c r="F20" s="48" t="s">
        <v>355</v>
      </c>
      <c r="G20" s="127" t="s">
        <v>354</v>
      </c>
      <c r="H20" s="46" t="s">
        <v>356</v>
      </c>
      <c r="I20" s="26" t="s">
        <v>357</v>
      </c>
      <c r="J20" s="35" t="s">
        <v>343</v>
      </c>
      <c r="K20" s="40" t="s">
        <v>376</v>
      </c>
      <c r="L20" s="48"/>
      <c r="M20" s="49">
        <v>99290678</v>
      </c>
      <c r="N20" s="48" t="s">
        <v>377</v>
      </c>
      <c r="O20" s="46" t="s">
        <v>19</v>
      </c>
      <c r="P20" s="46"/>
      <c r="Q20" s="107" t="s">
        <v>551</v>
      </c>
      <c r="R20" s="28"/>
    </row>
    <row r="21" spans="1:18" s="12" customFormat="1" ht="63.75" customHeight="1">
      <c r="A21" s="97">
        <f t="shared" si="2"/>
        <v>16</v>
      </c>
      <c r="B21" s="108">
        <f t="shared" si="2"/>
        <v>16</v>
      </c>
      <c r="C21" s="46" t="s">
        <v>14</v>
      </c>
      <c r="D21" s="46" t="s">
        <v>15</v>
      </c>
      <c r="E21" s="48" t="s">
        <v>16</v>
      </c>
      <c r="F21" s="48" t="s">
        <v>399</v>
      </c>
      <c r="G21" s="127" t="s">
        <v>394</v>
      </c>
      <c r="H21" s="46" t="s">
        <v>392</v>
      </c>
      <c r="I21" s="26" t="s">
        <v>393</v>
      </c>
      <c r="J21" s="35"/>
      <c r="K21" s="52" t="s">
        <v>400</v>
      </c>
      <c r="L21" s="48"/>
      <c r="M21" s="53">
        <v>98675896</v>
      </c>
      <c r="N21" s="48" t="s">
        <v>377</v>
      </c>
      <c r="O21" s="46" t="s">
        <v>19</v>
      </c>
      <c r="P21" s="46"/>
      <c r="Q21" s="107" t="s">
        <v>573</v>
      </c>
      <c r="R21" s="28"/>
    </row>
    <row r="22" spans="1:18" s="1" customFormat="1" ht="22.5" customHeight="1">
      <c r="A22" s="98"/>
      <c r="B22" s="109"/>
      <c r="C22" s="54"/>
      <c r="D22" s="54"/>
      <c r="E22" s="55"/>
      <c r="F22" s="55"/>
      <c r="G22" s="54"/>
      <c r="H22" s="55"/>
      <c r="I22" s="56"/>
      <c r="J22" s="56"/>
      <c r="K22" s="55"/>
      <c r="L22" s="55"/>
      <c r="M22" s="57"/>
      <c r="N22" s="55"/>
      <c r="O22" s="55"/>
      <c r="P22" s="55"/>
      <c r="Q22" s="107"/>
      <c r="R22" s="55"/>
    </row>
    <row r="23" spans="1:18" ht="39.75" customHeight="1">
      <c r="A23" s="96">
        <f>A21+1</f>
        <v>17</v>
      </c>
      <c r="B23" s="106">
        <v>1</v>
      </c>
      <c r="C23" s="21" t="s">
        <v>42</v>
      </c>
      <c r="D23" s="21" t="s">
        <v>15</v>
      </c>
      <c r="E23" s="22" t="s">
        <v>43</v>
      </c>
      <c r="F23" s="22" t="s">
        <v>44</v>
      </c>
      <c r="G23" s="126" t="s">
        <v>446</v>
      </c>
      <c r="H23" s="28" t="s">
        <v>45</v>
      </c>
      <c r="I23" s="31" t="s">
        <v>153</v>
      </c>
      <c r="J23" s="35" t="s">
        <v>341</v>
      </c>
      <c r="K23" s="22" t="s">
        <v>213</v>
      </c>
      <c r="L23" s="22">
        <v>71874970</v>
      </c>
      <c r="M23" s="33">
        <v>97560053</v>
      </c>
      <c r="N23" s="22">
        <v>71238591</v>
      </c>
      <c r="O23" s="21" t="s">
        <v>46</v>
      </c>
      <c r="P23" s="58" t="s">
        <v>47</v>
      </c>
      <c r="Q23" s="25"/>
      <c r="R23" s="22"/>
    </row>
    <row r="24" spans="1:18" ht="54" customHeight="1">
      <c r="A24" s="96">
        <f t="shared" ref="A24:B27" si="3">A23+1</f>
        <v>18</v>
      </c>
      <c r="B24" s="106">
        <f t="shared" si="3"/>
        <v>2</v>
      </c>
      <c r="C24" s="21" t="s">
        <v>42</v>
      </c>
      <c r="D24" s="21" t="s">
        <v>15</v>
      </c>
      <c r="E24" s="22" t="s">
        <v>43</v>
      </c>
      <c r="F24" s="22" t="s">
        <v>48</v>
      </c>
      <c r="G24" s="126" t="s">
        <v>447</v>
      </c>
      <c r="H24" s="28" t="s">
        <v>49</v>
      </c>
      <c r="I24" s="28" t="s">
        <v>207</v>
      </c>
      <c r="J24" s="59">
        <v>43382</v>
      </c>
      <c r="K24" s="60" t="s">
        <v>218</v>
      </c>
      <c r="L24" s="22"/>
      <c r="M24" s="33">
        <v>27952520</v>
      </c>
      <c r="N24" s="22"/>
      <c r="O24" s="21" t="s">
        <v>46</v>
      </c>
      <c r="P24" s="21"/>
      <c r="Q24" s="25"/>
      <c r="R24" s="22"/>
    </row>
    <row r="25" spans="1:18" ht="39.75" customHeight="1">
      <c r="A25" s="96">
        <f t="shared" si="3"/>
        <v>19</v>
      </c>
      <c r="B25" s="106">
        <f t="shared" si="3"/>
        <v>3</v>
      </c>
      <c r="C25" s="21" t="s">
        <v>42</v>
      </c>
      <c r="D25" s="21" t="s">
        <v>15</v>
      </c>
      <c r="E25" s="22" t="s">
        <v>43</v>
      </c>
      <c r="F25" s="22" t="s">
        <v>50</v>
      </c>
      <c r="G25" s="126" t="s">
        <v>448</v>
      </c>
      <c r="H25" s="28" t="s">
        <v>51</v>
      </c>
      <c r="I25" s="31" t="s">
        <v>166</v>
      </c>
      <c r="J25" s="36">
        <v>42611</v>
      </c>
      <c r="K25" s="61" t="s">
        <v>163</v>
      </c>
      <c r="L25" s="22"/>
      <c r="M25" s="33"/>
      <c r="N25" s="22"/>
      <c r="O25" s="21" t="s">
        <v>46</v>
      </c>
      <c r="P25" s="21"/>
      <c r="Q25" s="25"/>
      <c r="R25" s="22"/>
    </row>
    <row r="26" spans="1:18" s="10" customFormat="1" ht="39.75" customHeight="1">
      <c r="A26" s="99">
        <f t="shared" si="3"/>
        <v>20</v>
      </c>
      <c r="B26" s="110">
        <f t="shared" si="3"/>
        <v>4</v>
      </c>
      <c r="C26" s="27" t="s">
        <v>42</v>
      </c>
      <c r="D26" s="27" t="s">
        <v>15</v>
      </c>
      <c r="E26" s="62" t="s">
        <v>52</v>
      </c>
      <c r="F26" s="22" t="s">
        <v>164</v>
      </c>
      <c r="G26" s="128" t="s">
        <v>449</v>
      </c>
      <c r="H26" s="28" t="s">
        <v>576</v>
      </c>
      <c r="I26" s="31" t="s">
        <v>342</v>
      </c>
      <c r="J26" s="31" t="s">
        <v>340</v>
      </c>
      <c r="K26" s="40" t="s">
        <v>386</v>
      </c>
      <c r="L26" s="62">
        <v>71870277</v>
      </c>
      <c r="M26" s="63"/>
      <c r="N26" s="62"/>
      <c r="O26" s="21" t="s">
        <v>46</v>
      </c>
      <c r="P26" s="27"/>
      <c r="Q26" s="107" t="s">
        <v>426</v>
      </c>
      <c r="R26" s="62"/>
    </row>
    <row r="27" spans="1:18" s="12" customFormat="1" ht="39.75" customHeight="1">
      <c r="A27" s="99">
        <f t="shared" si="3"/>
        <v>21</v>
      </c>
      <c r="B27" s="110">
        <f t="shared" si="3"/>
        <v>5</v>
      </c>
      <c r="C27" s="27" t="s">
        <v>42</v>
      </c>
      <c r="D27" s="23" t="s">
        <v>15</v>
      </c>
      <c r="E27" s="28" t="s">
        <v>52</v>
      </c>
      <c r="F27" s="28" t="s">
        <v>309</v>
      </c>
      <c r="G27" s="127" t="s">
        <v>310</v>
      </c>
      <c r="H27" s="28" t="s">
        <v>311</v>
      </c>
      <c r="I27" s="31" t="s">
        <v>312</v>
      </c>
      <c r="J27" s="35" t="s">
        <v>415</v>
      </c>
      <c r="K27" s="40" t="s">
        <v>313</v>
      </c>
      <c r="L27" s="28">
        <v>71254787</v>
      </c>
      <c r="M27" s="64" t="s">
        <v>314</v>
      </c>
      <c r="N27" s="28"/>
      <c r="O27" s="23" t="s">
        <v>46</v>
      </c>
      <c r="P27" s="23"/>
      <c r="Q27" s="107" t="s">
        <v>315</v>
      </c>
      <c r="R27" s="28"/>
    </row>
    <row r="28" spans="1:18" s="8" customFormat="1" ht="43.5" customHeight="1">
      <c r="A28" s="23">
        <f>A27+1</f>
        <v>22</v>
      </c>
      <c r="B28" s="23">
        <f>B27+1</f>
        <v>6</v>
      </c>
      <c r="C28" s="23" t="s">
        <v>42</v>
      </c>
      <c r="D28" s="23" t="s">
        <v>15</v>
      </c>
      <c r="E28" s="23" t="s">
        <v>52</v>
      </c>
      <c r="F28" s="28" t="s">
        <v>187</v>
      </c>
      <c r="G28" s="126" t="s">
        <v>450</v>
      </c>
      <c r="H28" s="31" t="s">
        <v>543</v>
      </c>
      <c r="I28" s="28" t="s">
        <v>188</v>
      </c>
      <c r="J28" s="28" t="s">
        <v>340</v>
      </c>
      <c r="K28" s="40" t="s">
        <v>189</v>
      </c>
      <c r="L28" s="42"/>
      <c r="M28" s="42">
        <v>98459335</v>
      </c>
      <c r="N28" s="28"/>
      <c r="O28" s="28" t="s">
        <v>46</v>
      </c>
      <c r="P28" s="142"/>
      <c r="Q28" s="107" t="s">
        <v>575</v>
      </c>
    </row>
    <row r="29" spans="1:18" ht="24" customHeight="1">
      <c r="A29" s="98"/>
      <c r="B29" s="109"/>
      <c r="C29" s="54"/>
      <c r="D29" s="54"/>
      <c r="E29" s="55"/>
      <c r="F29" s="55"/>
      <c r="G29" s="55"/>
      <c r="H29" s="55"/>
      <c r="I29" s="55"/>
      <c r="J29" s="56"/>
      <c r="K29" s="55"/>
      <c r="L29" s="55"/>
      <c r="M29" s="57"/>
      <c r="N29" s="55"/>
      <c r="O29" s="55"/>
      <c r="P29" s="55"/>
      <c r="Q29" s="107"/>
      <c r="R29" s="55"/>
    </row>
    <row r="30" spans="1:18" s="10" customFormat="1" ht="39.75" customHeight="1">
      <c r="A30" s="99">
        <v>23</v>
      </c>
      <c r="B30" s="110">
        <v>1</v>
      </c>
      <c r="C30" s="27" t="s">
        <v>53</v>
      </c>
      <c r="D30" s="27" t="s">
        <v>15</v>
      </c>
      <c r="E30" s="62" t="s">
        <v>54</v>
      </c>
      <c r="F30" s="62" t="s">
        <v>55</v>
      </c>
      <c r="G30" s="129" t="s">
        <v>502</v>
      </c>
      <c r="H30" s="23" t="s">
        <v>56</v>
      </c>
      <c r="I30" s="26" t="s">
        <v>57</v>
      </c>
      <c r="J30" s="66">
        <v>42313</v>
      </c>
      <c r="K30" s="22" t="s">
        <v>577</v>
      </c>
      <c r="L30" s="27">
        <v>71260425</v>
      </c>
      <c r="M30" s="67">
        <v>22701565</v>
      </c>
      <c r="N30" s="27">
        <v>71260426</v>
      </c>
      <c r="O30" s="27" t="s">
        <v>159</v>
      </c>
      <c r="P30" s="27"/>
      <c r="Q30" s="25"/>
      <c r="R30" s="27"/>
    </row>
    <row r="31" spans="1:18" ht="20.25" customHeight="1">
      <c r="A31" s="98"/>
      <c r="B31" s="109"/>
      <c r="C31" s="54"/>
      <c r="D31" s="54"/>
      <c r="E31" s="55"/>
      <c r="F31" s="55"/>
      <c r="G31" s="55"/>
      <c r="H31" s="54"/>
      <c r="I31" s="56"/>
      <c r="J31" s="56"/>
      <c r="K31" s="55"/>
      <c r="L31" s="55"/>
      <c r="M31" s="57"/>
      <c r="N31" s="55"/>
      <c r="O31" s="55"/>
      <c r="P31" s="55"/>
      <c r="Q31" s="25"/>
      <c r="R31" s="55"/>
    </row>
    <row r="32" spans="1:18" ht="39.75" customHeight="1">
      <c r="A32" s="96">
        <f>A30+1</f>
        <v>24</v>
      </c>
      <c r="B32" s="106">
        <f>B31+1</f>
        <v>1</v>
      </c>
      <c r="C32" s="21" t="s">
        <v>59</v>
      </c>
      <c r="D32" s="21" t="s">
        <v>15</v>
      </c>
      <c r="E32" s="22" t="s">
        <v>60</v>
      </c>
      <c r="F32" s="22" t="s">
        <v>61</v>
      </c>
      <c r="G32" s="127" t="s">
        <v>442</v>
      </c>
      <c r="H32" s="21" t="s">
        <v>62</v>
      </c>
      <c r="I32" s="31" t="s">
        <v>289</v>
      </c>
      <c r="J32" s="32">
        <v>43802</v>
      </c>
      <c r="K32" s="45" t="s">
        <v>290</v>
      </c>
      <c r="L32" s="22">
        <v>71874121</v>
      </c>
      <c r="M32" s="33" t="s">
        <v>291</v>
      </c>
      <c r="N32" s="22">
        <v>71872222</v>
      </c>
      <c r="O32" s="21" t="s">
        <v>63</v>
      </c>
      <c r="P32" s="58"/>
      <c r="Q32" s="25"/>
      <c r="R32" s="22"/>
    </row>
    <row r="33" spans="1:20" ht="39.75" customHeight="1">
      <c r="A33" s="96">
        <f>A32+1</f>
        <v>25</v>
      </c>
      <c r="B33" s="106">
        <v>2</v>
      </c>
      <c r="C33" s="21" t="s">
        <v>59</v>
      </c>
      <c r="D33" s="21" t="s">
        <v>15</v>
      </c>
      <c r="E33" s="22" t="s">
        <v>60</v>
      </c>
      <c r="F33" s="22" t="s">
        <v>65</v>
      </c>
      <c r="G33" s="126" t="s">
        <v>441</v>
      </c>
      <c r="H33" s="21" t="s">
        <v>66</v>
      </c>
      <c r="I33" s="35" t="s">
        <v>162</v>
      </c>
      <c r="J33" s="36">
        <v>42551</v>
      </c>
      <c r="K33" s="22" t="s">
        <v>203</v>
      </c>
      <c r="L33" s="22"/>
      <c r="M33" s="33" t="s">
        <v>165</v>
      </c>
      <c r="N33" s="22"/>
      <c r="O33" s="21" t="s">
        <v>63</v>
      </c>
      <c r="P33" s="21"/>
      <c r="Q33" s="25"/>
      <c r="R33" s="22"/>
    </row>
    <row r="34" spans="1:20" s="12" customFormat="1" ht="39.75" customHeight="1">
      <c r="A34" s="100">
        <f t="shared" ref="A34:A40" si="4">A33+1</f>
        <v>26</v>
      </c>
      <c r="B34" s="135">
        <f>B33+1</f>
        <v>3</v>
      </c>
      <c r="C34" s="23" t="s">
        <v>59</v>
      </c>
      <c r="D34" s="23" t="s">
        <v>15</v>
      </c>
      <c r="E34" s="28" t="s">
        <v>60</v>
      </c>
      <c r="F34" s="28" t="s">
        <v>67</v>
      </c>
      <c r="G34" s="143" t="s">
        <v>440</v>
      </c>
      <c r="H34" s="28" t="s">
        <v>68</v>
      </c>
      <c r="I34" s="31" t="s">
        <v>69</v>
      </c>
      <c r="J34" s="32">
        <v>41593</v>
      </c>
      <c r="K34" s="28" t="s">
        <v>214</v>
      </c>
      <c r="L34" s="28">
        <v>71881256</v>
      </c>
      <c r="M34" s="64">
        <v>98223987</v>
      </c>
      <c r="N34" s="28">
        <v>71881256</v>
      </c>
      <c r="O34" s="23" t="s">
        <v>63</v>
      </c>
      <c r="P34" s="23"/>
      <c r="Q34" s="107" t="s">
        <v>564</v>
      </c>
      <c r="R34" s="28"/>
    </row>
    <row r="35" spans="1:20" ht="39.75" customHeight="1">
      <c r="A35" s="96">
        <f t="shared" si="4"/>
        <v>27</v>
      </c>
      <c r="B35" s="106">
        <v>4</v>
      </c>
      <c r="C35" s="21" t="s">
        <v>59</v>
      </c>
      <c r="D35" s="21" t="s">
        <v>15</v>
      </c>
      <c r="E35" s="22" t="s">
        <v>60</v>
      </c>
      <c r="F35" s="22" t="s">
        <v>70</v>
      </c>
      <c r="G35" s="126" t="s">
        <v>444</v>
      </c>
      <c r="H35" s="22" t="s">
        <v>71</v>
      </c>
      <c r="I35" s="31" t="s">
        <v>308</v>
      </c>
      <c r="J35" s="31" t="s">
        <v>340</v>
      </c>
      <c r="K35" s="43" t="s">
        <v>307</v>
      </c>
      <c r="L35" s="22">
        <v>70831065</v>
      </c>
      <c r="M35" s="33">
        <v>99343408</v>
      </c>
      <c r="N35" s="22"/>
      <c r="O35" s="21" t="s">
        <v>63</v>
      </c>
      <c r="P35" s="21"/>
      <c r="Q35" s="107" t="s">
        <v>306</v>
      </c>
      <c r="R35" s="22"/>
    </row>
    <row r="36" spans="1:20" s="10" customFormat="1" ht="39.75" customHeight="1">
      <c r="A36" s="96">
        <f t="shared" si="4"/>
        <v>28</v>
      </c>
      <c r="B36" s="106">
        <f>B35+1</f>
        <v>5</v>
      </c>
      <c r="C36" s="27" t="s">
        <v>59</v>
      </c>
      <c r="D36" s="27" t="s">
        <v>15</v>
      </c>
      <c r="E36" s="62" t="s">
        <v>60</v>
      </c>
      <c r="F36" s="62" t="s">
        <v>64</v>
      </c>
      <c r="G36" s="126" t="s">
        <v>443</v>
      </c>
      <c r="H36" s="27" t="s">
        <v>170</v>
      </c>
      <c r="I36" s="35" t="s">
        <v>158</v>
      </c>
      <c r="J36" s="36">
        <v>43382</v>
      </c>
      <c r="K36" s="22" t="s">
        <v>215</v>
      </c>
      <c r="L36" s="62"/>
      <c r="M36" s="63">
        <v>58450000</v>
      </c>
      <c r="N36" s="62">
        <v>71872222</v>
      </c>
      <c r="O36" s="27" t="s">
        <v>63</v>
      </c>
      <c r="P36" s="27"/>
      <c r="Q36" s="25"/>
      <c r="R36" s="62"/>
    </row>
    <row r="37" spans="1:20" s="10" customFormat="1" ht="39.75" customHeight="1">
      <c r="A37" s="96">
        <f t="shared" si="4"/>
        <v>29</v>
      </c>
      <c r="B37" s="106">
        <f t="shared" ref="B37:B40" si="5">B36+1</f>
        <v>6</v>
      </c>
      <c r="C37" s="27" t="s">
        <v>59</v>
      </c>
      <c r="D37" s="27" t="s">
        <v>15</v>
      </c>
      <c r="E37" s="62" t="s">
        <v>60</v>
      </c>
      <c r="F37" s="62" t="s">
        <v>366</v>
      </c>
      <c r="G37" s="127" t="s">
        <v>363</v>
      </c>
      <c r="H37" s="23" t="s">
        <v>358</v>
      </c>
      <c r="I37" s="35" t="s">
        <v>361</v>
      </c>
      <c r="J37" s="35" t="s">
        <v>343</v>
      </c>
      <c r="K37" s="53" t="s">
        <v>378</v>
      </c>
      <c r="L37" s="22" t="s">
        <v>379</v>
      </c>
      <c r="M37" s="33" t="s">
        <v>380</v>
      </c>
      <c r="N37" s="62"/>
      <c r="O37" s="27" t="s">
        <v>63</v>
      </c>
      <c r="P37" s="27"/>
      <c r="Q37" s="107" t="s">
        <v>552</v>
      </c>
      <c r="R37" s="62"/>
    </row>
    <row r="38" spans="1:20" s="10" customFormat="1" ht="39.75" customHeight="1">
      <c r="A38" s="96">
        <f t="shared" si="4"/>
        <v>30</v>
      </c>
      <c r="B38" s="106">
        <f t="shared" si="5"/>
        <v>7</v>
      </c>
      <c r="C38" s="27" t="s">
        <v>59</v>
      </c>
      <c r="D38" s="27" t="s">
        <v>15</v>
      </c>
      <c r="E38" s="62" t="s">
        <v>60</v>
      </c>
      <c r="F38" s="22" t="s">
        <v>367</v>
      </c>
      <c r="G38" s="127" t="s">
        <v>364</v>
      </c>
      <c r="H38" s="23" t="s">
        <v>359</v>
      </c>
      <c r="I38" s="35" t="s">
        <v>578</v>
      </c>
      <c r="J38" s="35" t="s">
        <v>343</v>
      </c>
      <c r="K38" s="52" t="s">
        <v>381</v>
      </c>
      <c r="L38" s="22">
        <v>71870277</v>
      </c>
      <c r="M38" s="33" t="s">
        <v>382</v>
      </c>
      <c r="N38" s="62"/>
      <c r="O38" s="27" t="s">
        <v>63</v>
      </c>
      <c r="P38" s="27"/>
      <c r="Q38" s="107" t="s">
        <v>553</v>
      </c>
      <c r="R38" s="62"/>
    </row>
    <row r="39" spans="1:20" s="10" customFormat="1" ht="49.5" customHeight="1">
      <c r="A39" s="96">
        <f t="shared" si="4"/>
        <v>31</v>
      </c>
      <c r="B39" s="106">
        <f t="shared" si="5"/>
        <v>8</v>
      </c>
      <c r="C39" s="27" t="s">
        <v>59</v>
      </c>
      <c r="D39" s="27" t="s">
        <v>15</v>
      </c>
      <c r="E39" s="62" t="s">
        <v>60</v>
      </c>
      <c r="F39" s="22" t="s">
        <v>368</v>
      </c>
      <c r="G39" s="127" t="s">
        <v>365</v>
      </c>
      <c r="H39" s="23" t="s">
        <v>360</v>
      </c>
      <c r="I39" s="35" t="s">
        <v>362</v>
      </c>
      <c r="J39" s="35" t="s">
        <v>343</v>
      </c>
      <c r="K39" s="68" t="s">
        <v>383</v>
      </c>
      <c r="L39" s="62"/>
      <c r="M39" s="33">
        <v>97442769</v>
      </c>
      <c r="N39" s="62"/>
      <c r="O39" s="27" t="s">
        <v>63</v>
      </c>
      <c r="P39" s="27"/>
      <c r="Q39" s="107" t="s">
        <v>554</v>
      </c>
      <c r="R39" s="62"/>
    </row>
    <row r="40" spans="1:20" s="133" customFormat="1" ht="49.5" customHeight="1">
      <c r="A40" s="100">
        <f t="shared" si="4"/>
        <v>32</v>
      </c>
      <c r="B40" s="135">
        <f t="shared" si="5"/>
        <v>9</v>
      </c>
      <c r="C40" s="23" t="s">
        <v>59</v>
      </c>
      <c r="D40" s="23" t="s">
        <v>15</v>
      </c>
      <c r="E40" s="23" t="s">
        <v>60</v>
      </c>
      <c r="F40" s="28" t="s">
        <v>184</v>
      </c>
      <c r="G40" s="126" t="s">
        <v>445</v>
      </c>
      <c r="H40" s="23" t="s">
        <v>520</v>
      </c>
      <c r="I40" s="28" t="s">
        <v>196</v>
      </c>
      <c r="J40" s="28"/>
      <c r="K40" s="28" t="s">
        <v>186</v>
      </c>
      <c r="L40" s="42" t="s">
        <v>185</v>
      </c>
      <c r="M40" s="42">
        <v>20309011</v>
      </c>
      <c r="N40" s="28"/>
      <c r="O40" s="23" t="s">
        <v>63</v>
      </c>
      <c r="P40" s="25"/>
      <c r="Q40" s="107" t="s">
        <v>562</v>
      </c>
      <c r="R40" s="10"/>
    </row>
    <row r="41" spans="1:20" ht="22.5" customHeight="1">
      <c r="A41" s="98"/>
      <c r="B41" s="109"/>
      <c r="C41" s="54"/>
      <c r="D41" s="54"/>
      <c r="E41" s="55"/>
      <c r="F41" s="55"/>
      <c r="G41" s="55"/>
      <c r="H41" s="54"/>
      <c r="I41" s="56"/>
      <c r="J41" s="56"/>
      <c r="K41" s="55"/>
      <c r="L41" s="55"/>
      <c r="M41" s="57"/>
      <c r="N41" s="55"/>
      <c r="O41" s="55"/>
      <c r="P41" s="55"/>
      <c r="Q41" s="107"/>
      <c r="R41" s="62"/>
    </row>
    <row r="42" spans="1:20" ht="39.75" customHeight="1">
      <c r="A42" s="96">
        <f>A40+1</f>
        <v>33</v>
      </c>
      <c r="B42" s="106">
        <f t="shared" ref="B42:B84" si="6">B41+1</f>
        <v>1</v>
      </c>
      <c r="C42" s="23" t="s">
        <v>526</v>
      </c>
      <c r="D42" s="21" t="s">
        <v>15</v>
      </c>
      <c r="E42" s="22" t="s">
        <v>72</v>
      </c>
      <c r="F42" s="22" t="s">
        <v>73</v>
      </c>
      <c r="G42" s="129" t="s">
        <v>461</v>
      </c>
      <c r="H42" s="62" t="s">
        <v>74</v>
      </c>
      <c r="I42" s="35" t="s">
        <v>579</v>
      </c>
      <c r="J42" s="36">
        <v>40778</v>
      </c>
      <c r="K42" s="45" t="s">
        <v>580</v>
      </c>
      <c r="L42" s="22">
        <v>71872600</v>
      </c>
      <c r="M42" s="33">
        <v>20342705</v>
      </c>
      <c r="N42" s="22">
        <v>70860432</v>
      </c>
      <c r="O42" s="21" t="s">
        <v>75</v>
      </c>
      <c r="P42" s="21"/>
      <c r="Q42" s="107" t="s">
        <v>547</v>
      </c>
      <c r="R42" s="22"/>
    </row>
    <row r="43" spans="1:20" ht="39.75" customHeight="1">
      <c r="A43" s="96">
        <f>A42+1</f>
        <v>34</v>
      </c>
      <c r="B43" s="106">
        <f t="shared" si="6"/>
        <v>2</v>
      </c>
      <c r="C43" s="23" t="s">
        <v>526</v>
      </c>
      <c r="D43" s="21" t="s">
        <v>15</v>
      </c>
      <c r="E43" s="22" t="s">
        <v>76</v>
      </c>
      <c r="F43" s="22" t="s">
        <v>77</v>
      </c>
      <c r="G43" s="129" t="s">
        <v>462</v>
      </c>
      <c r="H43" s="62" t="s">
        <v>78</v>
      </c>
      <c r="I43" s="31" t="s">
        <v>407</v>
      </c>
      <c r="J43" s="31" t="s">
        <v>401</v>
      </c>
      <c r="K43" s="40" t="s">
        <v>408</v>
      </c>
      <c r="L43" s="22">
        <v>71872600</v>
      </c>
      <c r="M43" s="33">
        <v>98666502</v>
      </c>
      <c r="N43" s="22">
        <v>70860409</v>
      </c>
      <c r="O43" s="21" t="s">
        <v>75</v>
      </c>
      <c r="P43" s="21"/>
      <c r="Q43" s="107" t="s">
        <v>427</v>
      </c>
      <c r="R43" s="22"/>
    </row>
    <row r="44" spans="1:20" ht="48.75" customHeight="1">
      <c r="A44" s="96">
        <f>A43+1</f>
        <v>35</v>
      </c>
      <c r="B44" s="106">
        <f t="shared" si="6"/>
        <v>3</v>
      </c>
      <c r="C44" s="23" t="s">
        <v>526</v>
      </c>
      <c r="D44" s="21" t="s">
        <v>15</v>
      </c>
      <c r="E44" s="22" t="s">
        <v>79</v>
      </c>
      <c r="F44" s="22" t="s">
        <v>80</v>
      </c>
      <c r="G44" s="129" t="s">
        <v>463</v>
      </c>
      <c r="H44" s="21" t="s">
        <v>81</v>
      </c>
      <c r="I44" s="35" t="s">
        <v>506</v>
      </c>
      <c r="J44" s="36"/>
      <c r="K44" s="37" t="s">
        <v>516</v>
      </c>
      <c r="L44" s="22">
        <v>71872600</v>
      </c>
      <c r="M44" s="33">
        <v>95737399</v>
      </c>
      <c r="N44" s="22">
        <v>71883424</v>
      </c>
      <c r="O44" s="21" t="s">
        <v>75</v>
      </c>
      <c r="P44" s="21"/>
      <c r="Q44" s="107" t="s">
        <v>507</v>
      </c>
      <c r="R44" s="22"/>
    </row>
    <row r="45" spans="1:20" ht="39.75" customHeight="1">
      <c r="A45" s="96">
        <f>A44+1</f>
        <v>36</v>
      </c>
      <c r="B45" s="106">
        <f t="shared" si="6"/>
        <v>4</v>
      </c>
      <c r="C45" s="23" t="s">
        <v>526</v>
      </c>
      <c r="D45" s="21" t="s">
        <v>15</v>
      </c>
      <c r="E45" s="22" t="s">
        <v>79</v>
      </c>
      <c r="F45" s="22" t="s">
        <v>82</v>
      </c>
      <c r="G45" s="129" t="s">
        <v>464</v>
      </c>
      <c r="H45" s="21" t="s">
        <v>83</v>
      </c>
      <c r="I45" s="31" t="s">
        <v>204</v>
      </c>
      <c r="J45" s="32">
        <v>43032</v>
      </c>
      <c r="K45" s="28" t="s">
        <v>216</v>
      </c>
      <c r="L45" s="22">
        <v>71872600</v>
      </c>
      <c r="M45" s="33">
        <v>55985599</v>
      </c>
      <c r="N45" s="22">
        <v>71885008</v>
      </c>
      <c r="O45" s="21" t="s">
        <v>75</v>
      </c>
      <c r="P45" s="21"/>
      <c r="Q45" s="25"/>
      <c r="R45" s="22"/>
    </row>
    <row r="46" spans="1:20" ht="39.75" customHeight="1">
      <c r="A46" s="96">
        <f>A45+1</f>
        <v>37</v>
      </c>
      <c r="B46" s="106">
        <f t="shared" si="6"/>
        <v>5</v>
      </c>
      <c r="C46" s="23" t="s">
        <v>526</v>
      </c>
      <c r="D46" s="21" t="s">
        <v>15</v>
      </c>
      <c r="E46" s="22" t="s">
        <v>76</v>
      </c>
      <c r="F46" s="22" t="s">
        <v>84</v>
      </c>
      <c r="G46" s="129" t="s">
        <v>465</v>
      </c>
      <c r="H46" s="21" t="s">
        <v>85</v>
      </c>
      <c r="I46" s="31" t="s">
        <v>299</v>
      </c>
      <c r="J46" s="32">
        <v>43651</v>
      </c>
      <c r="K46" s="40" t="s">
        <v>278</v>
      </c>
      <c r="L46" s="22">
        <v>70860676</v>
      </c>
      <c r="M46" s="33">
        <v>22534147</v>
      </c>
      <c r="N46" s="22"/>
      <c r="O46" s="21" t="s">
        <v>75</v>
      </c>
      <c r="P46" s="21"/>
      <c r="Q46" s="107" t="s">
        <v>429</v>
      </c>
      <c r="R46" s="22"/>
      <c r="S46" s="24"/>
      <c r="T46" s="24"/>
    </row>
    <row r="47" spans="1:20" ht="39.75" customHeight="1">
      <c r="A47" s="96">
        <f>A46+1</f>
        <v>38</v>
      </c>
      <c r="B47" s="106">
        <f t="shared" si="6"/>
        <v>6</v>
      </c>
      <c r="C47" s="23" t="s">
        <v>526</v>
      </c>
      <c r="D47" s="21" t="s">
        <v>15</v>
      </c>
      <c r="E47" s="22" t="s">
        <v>76</v>
      </c>
      <c r="F47" s="22" t="s">
        <v>86</v>
      </c>
      <c r="G47" s="129" t="s">
        <v>466</v>
      </c>
      <c r="H47" s="22" t="s">
        <v>87</v>
      </c>
      <c r="I47" s="31" t="s">
        <v>224</v>
      </c>
      <c r="J47" s="32">
        <v>43461</v>
      </c>
      <c r="K47" s="40" t="s">
        <v>230</v>
      </c>
      <c r="L47" s="28">
        <v>71885053</v>
      </c>
      <c r="M47" s="64">
        <v>98957001</v>
      </c>
      <c r="N47" s="28"/>
      <c r="O47" s="21" t="s">
        <v>75</v>
      </c>
      <c r="P47" s="21"/>
      <c r="Q47" s="107" t="s">
        <v>225</v>
      </c>
      <c r="R47" s="22"/>
    </row>
    <row r="48" spans="1:20" ht="39.75" customHeight="1">
      <c r="A48" s="96">
        <f t="shared" ref="A48:A50" si="7">A47+1</f>
        <v>39</v>
      </c>
      <c r="B48" s="106">
        <f t="shared" si="6"/>
        <v>7</v>
      </c>
      <c r="C48" s="23" t="s">
        <v>526</v>
      </c>
      <c r="D48" s="21" t="s">
        <v>15</v>
      </c>
      <c r="E48" s="22" t="s">
        <v>72</v>
      </c>
      <c r="F48" s="22" t="s">
        <v>88</v>
      </c>
      <c r="G48" s="129" t="s">
        <v>467</v>
      </c>
      <c r="H48" s="28" t="s">
        <v>89</v>
      </c>
      <c r="I48" s="31" t="s">
        <v>211</v>
      </c>
      <c r="J48" s="32">
        <v>43382</v>
      </c>
      <c r="K48" s="28" t="s">
        <v>210</v>
      </c>
      <c r="L48" s="22">
        <v>70866336</v>
      </c>
      <c r="M48" s="33">
        <v>98337203</v>
      </c>
      <c r="N48" s="22">
        <v>70860336</v>
      </c>
      <c r="O48" s="21" t="s">
        <v>75</v>
      </c>
      <c r="P48" s="21"/>
      <c r="Q48" s="107" t="s">
        <v>303</v>
      </c>
      <c r="R48" s="22"/>
    </row>
    <row r="49" spans="1:19" s="1" customFormat="1" ht="56.25" customHeight="1">
      <c r="A49" s="96">
        <f t="shared" si="7"/>
        <v>40</v>
      </c>
      <c r="B49" s="106">
        <f t="shared" si="6"/>
        <v>8</v>
      </c>
      <c r="C49" s="23" t="s">
        <v>526</v>
      </c>
      <c r="D49" s="21" t="s">
        <v>15</v>
      </c>
      <c r="E49" s="22" t="s">
        <v>90</v>
      </c>
      <c r="F49" s="22" t="s">
        <v>91</v>
      </c>
      <c r="G49" s="129" t="s">
        <v>468</v>
      </c>
      <c r="H49" s="23" t="s">
        <v>92</v>
      </c>
      <c r="I49" s="35" t="s">
        <v>537</v>
      </c>
      <c r="J49" s="31"/>
      <c r="K49" s="28" t="s">
        <v>538</v>
      </c>
      <c r="L49" s="28" t="s">
        <v>333</v>
      </c>
      <c r="M49" s="64"/>
      <c r="N49" s="28">
        <v>70860325</v>
      </c>
      <c r="O49" s="23" t="s">
        <v>75</v>
      </c>
      <c r="P49" s="23"/>
      <c r="Q49" s="107" t="s">
        <v>539</v>
      </c>
      <c r="R49" s="28"/>
    </row>
    <row r="50" spans="1:19" s="1" customFormat="1" ht="39.75" customHeight="1">
      <c r="A50" s="96">
        <f t="shared" si="7"/>
        <v>41</v>
      </c>
      <c r="B50" s="106">
        <f t="shared" si="6"/>
        <v>9</v>
      </c>
      <c r="C50" s="23" t="s">
        <v>526</v>
      </c>
      <c r="D50" s="21" t="s">
        <v>15</v>
      </c>
      <c r="E50" s="22" t="s">
        <v>76</v>
      </c>
      <c r="F50" s="22" t="s">
        <v>93</v>
      </c>
      <c r="G50" s="129" t="s">
        <v>469</v>
      </c>
      <c r="H50" s="23" t="s">
        <v>94</v>
      </c>
      <c r="I50" s="31" t="s">
        <v>331</v>
      </c>
      <c r="J50" s="31" t="s">
        <v>340</v>
      </c>
      <c r="K50" s="28" t="s">
        <v>332</v>
      </c>
      <c r="L50" s="28">
        <v>71581247</v>
      </c>
      <c r="M50" s="64">
        <v>98686975</v>
      </c>
      <c r="N50" s="28">
        <v>70860434</v>
      </c>
      <c r="O50" s="23" t="s">
        <v>75</v>
      </c>
      <c r="P50" s="23"/>
      <c r="Q50" s="107" t="s">
        <v>563</v>
      </c>
      <c r="R50" s="28"/>
    </row>
    <row r="51" spans="1:19" s="1" customFormat="1" ht="39.75" customHeight="1">
      <c r="A51" s="96">
        <f t="shared" ref="A51:A84" si="8">A50+1</f>
        <v>42</v>
      </c>
      <c r="B51" s="106">
        <f t="shared" si="6"/>
        <v>10</v>
      </c>
      <c r="C51" s="23" t="s">
        <v>526</v>
      </c>
      <c r="D51" s="21" t="s">
        <v>15</v>
      </c>
      <c r="E51" s="22" t="s">
        <v>79</v>
      </c>
      <c r="F51" s="22" t="s">
        <v>95</v>
      </c>
      <c r="G51" s="129" t="s">
        <v>470</v>
      </c>
      <c r="H51" s="23" t="s">
        <v>96</v>
      </c>
      <c r="I51" s="31" t="s">
        <v>97</v>
      </c>
      <c r="J51" s="36">
        <v>41876</v>
      </c>
      <c r="K51" s="69" t="s">
        <v>98</v>
      </c>
      <c r="L51" s="22">
        <v>71885474</v>
      </c>
      <c r="M51" s="33">
        <v>98208771</v>
      </c>
      <c r="N51" s="22">
        <v>71883424</v>
      </c>
      <c r="O51" s="21" t="s">
        <v>75</v>
      </c>
      <c r="P51" s="21"/>
      <c r="Q51" s="107" t="s">
        <v>435</v>
      </c>
      <c r="R51" s="22"/>
    </row>
    <row r="52" spans="1:19" s="1" customFormat="1" ht="39.75" customHeight="1">
      <c r="A52" s="96">
        <f t="shared" si="8"/>
        <v>43</v>
      </c>
      <c r="B52" s="106">
        <f t="shared" si="6"/>
        <v>11</v>
      </c>
      <c r="C52" s="23" t="s">
        <v>526</v>
      </c>
      <c r="D52" s="21" t="s">
        <v>15</v>
      </c>
      <c r="E52" s="22" t="s">
        <v>76</v>
      </c>
      <c r="F52" s="22" t="s">
        <v>99</v>
      </c>
      <c r="G52" s="129" t="s">
        <v>471</v>
      </c>
      <c r="H52" s="28" t="s">
        <v>100</v>
      </c>
      <c r="I52" s="31" t="s">
        <v>387</v>
      </c>
      <c r="J52" s="31" t="s">
        <v>340</v>
      </c>
      <c r="K52" s="40" t="s">
        <v>373</v>
      </c>
      <c r="L52" s="22">
        <v>71872600</v>
      </c>
      <c r="M52" s="33">
        <v>98417878</v>
      </c>
      <c r="N52" s="22">
        <v>71885073</v>
      </c>
      <c r="O52" s="21" t="s">
        <v>75</v>
      </c>
      <c r="P52" s="21"/>
      <c r="Q52" s="107" t="s">
        <v>388</v>
      </c>
      <c r="R52" s="22"/>
    </row>
    <row r="53" spans="1:19" ht="39.75" customHeight="1">
      <c r="A53" s="96">
        <f t="shared" si="8"/>
        <v>44</v>
      </c>
      <c r="B53" s="106">
        <f t="shared" si="6"/>
        <v>12</v>
      </c>
      <c r="C53" s="23" t="s">
        <v>526</v>
      </c>
      <c r="D53" s="21" t="s">
        <v>15</v>
      </c>
      <c r="E53" s="22" t="s">
        <v>72</v>
      </c>
      <c r="F53" s="22" t="s">
        <v>101</v>
      </c>
      <c r="G53" s="129" t="s">
        <v>472</v>
      </c>
      <c r="H53" s="22" t="s">
        <v>102</v>
      </c>
      <c r="I53" s="31" t="s">
        <v>205</v>
      </c>
      <c r="J53" s="32">
        <v>43032</v>
      </c>
      <c r="K53" s="138" t="s">
        <v>217</v>
      </c>
      <c r="L53" s="22">
        <v>70860553</v>
      </c>
      <c r="M53" s="33">
        <v>98925872</v>
      </c>
      <c r="N53" s="22">
        <v>70860553</v>
      </c>
      <c r="O53" s="21" t="s">
        <v>75</v>
      </c>
      <c r="P53" s="21"/>
      <c r="Q53" s="25"/>
      <c r="R53" s="22"/>
    </row>
    <row r="54" spans="1:19" ht="39.75" customHeight="1">
      <c r="A54" s="96">
        <f t="shared" si="8"/>
        <v>45</v>
      </c>
      <c r="B54" s="106">
        <f t="shared" si="6"/>
        <v>13</v>
      </c>
      <c r="C54" s="23" t="s">
        <v>526</v>
      </c>
      <c r="D54" s="21" t="s">
        <v>15</v>
      </c>
      <c r="E54" s="22" t="s">
        <v>103</v>
      </c>
      <c r="F54" s="22" t="s">
        <v>104</v>
      </c>
      <c r="G54" s="129" t="s">
        <v>473</v>
      </c>
      <c r="H54" s="21" t="s">
        <v>105</v>
      </c>
      <c r="I54" s="35" t="s">
        <v>183</v>
      </c>
      <c r="J54" s="32">
        <v>42816</v>
      </c>
      <c r="K54" s="40" t="s">
        <v>209</v>
      </c>
      <c r="L54" s="22" t="s">
        <v>236</v>
      </c>
      <c r="M54" s="33"/>
      <c r="N54" s="22">
        <v>71885350</v>
      </c>
      <c r="O54" s="21" t="s">
        <v>75</v>
      </c>
      <c r="P54" s="21"/>
      <c r="Q54" s="25"/>
      <c r="R54" s="22"/>
    </row>
    <row r="55" spans="1:19" ht="38.25" customHeight="1">
      <c r="A55" s="96">
        <f t="shared" si="8"/>
        <v>46</v>
      </c>
      <c r="B55" s="106">
        <f t="shared" si="6"/>
        <v>14</v>
      </c>
      <c r="C55" s="23" t="s">
        <v>526</v>
      </c>
      <c r="D55" s="21" t="s">
        <v>15</v>
      </c>
      <c r="E55" s="22" t="s">
        <v>72</v>
      </c>
      <c r="F55" s="22" t="s">
        <v>106</v>
      </c>
      <c r="G55" s="129" t="s">
        <v>474</v>
      </c>
      <c r="H55" s="28" t="s">
        <v>107</v>
      </c>
      <c r="I55" s="31" t="s">
        <v>581</v>
      </c>
      <c r="J55" s="31" t="s">
        <v>401</v>
      </c>
      <c r="K55" s="40" t="s">
        <v>582</v>
      </c>
      <c r="L55" s="22"/>
      <c r="M55" s="33">
        <v>23218007</v>
      </c>
      <c r="N55" s="22"/>
      <c r="O55" s="21" t="s">
        <v>75</v>
      </c>
      <c r="P55" s="21"/>
      <c r="Q55" s="107" t="s">
        <v>584</v>
      </c>
      <c r="R55" s="62"/>
    </row>
    <row r="56" spans="1:19" ht="39.75" customHeight="1">
      <c r="A56" s="96">
        <f t="shared" si="8"/>
        <v>47</v>
      </c>
      <c r="B56" s="106">
        <f t="shared" si="6"/>
        <v>15</v>
      </c>
      <c r="C56" s="23" t="s">
        <v>526</v>
      </c>
      <c r="D56" s="21" t="s">
        <v>15</v>
      </c>
      <c r="E56" s="62" t="s">
        <v>72</v>
      </c>
      <c r="F56" s="62" t="s">
        <v>108</v>
      </c>
      <c r="G56" s="129" t="s">
        <v>475</v>
      </c>
      <c r="H56" s="27" t="s">
        <v>109</v>
      </c>
      <c r="I56" s="31" t="s">
        <v>405</v>
      </c>
      <c r="J56" s="31" t="s">
        <v>401</v>
      </c>
      <c r="K56" s="70" t="s">
        <v>406</v>
      </c>
      <c r="L56" s="62" t="s">
        <v>110</v>
      </c>
      <c r="M56" s="63">
        <v>22572106</v>
      </c>
      <c r="N56" s="62">
        <v>71885480</v>
      </c>
      <c r="O56" s="21" t="s">
        <v>75</v>
      </c>
      <c r="P56" s="21"/>
      <c r="Q56" s="107"/>
      <c r="R56" s="22"/>
    </row>
    <row r="57" spans="1:19" ht="39.75" customHeight="1">
      <c r="A57" s="96">
        <f t="shared" si="8"/>
        <v>48</v>
      </c>
      <c r="B57" s="106">
        <f t="shared" si="6"/>
        <v>16</v>
      </c>
      <c r="C57" s="23" t="s">
        <v>526</v>
      </c>
      <c r="D57" s="21" t="s">
        <v>15</v>
      </c>
      <c r="E57" s="22" t="s">
        <v>76</v>
      </c>
      <c r="F57" s="22" t="s">
        <v>111</v>
      </c>
      <c r="G57" s="129" t="s">
        <v>476</v>
      </c>
      <c r="H57" s="62" t="s">
        <v>112</v>
      </c>
      <c r="I57" s="31" t="s">
        <v>226</v>
      </c>
      <c r="J57" s="32">
        <v>43461</v>
      </c>
      <c r="K57" s="40" t="s">
        <v>233</v>
      </c>
      <c r="L57" s="22">
        <v>71256425</v>
      </c>
      <c r="M57" s="33">
        <v>26550446</v>
      </c>
      <c r="N57" s="22"/>
      <c r="O57" s="21" t="s">
        <v>75</v>
      </c>
      <c r="P57" s="69"/>
      <c r="Q57" s="107"/>
      <c r="R57" s="22"/>
    </row>
    <row r="58" spans="1:19" ht="39.75" customHeight="1">
      <c r="A58" s="96">
        <f t="shared" si="8"/>
        <v>49</v>
      </c>
      <c r="B58" s="106">
        <f t="shared" si="6"/>
        <v>17</v>
      </c>
      <c r="C58" s="23" t="s">
        <v>526</v>
      </c>
      <c r="D58" s="21" t="s">
        <v>15</v>
      </c>
      <c r="E58" s="22" t="s">
        <v>103</v>
      </c>
      <c r="F58" s="22" t="s">
        <v>113</v>
      </c>
      <c r="G58" s="129" t="s">
        <v>477</v>
      </c>
      <c r="H58" s="22" t="s">
        <v>114</v>
      </c>
      <c r="I58" s="31" t="s">
        <v>585</v>
      </c>
      <c r="J58" s="31" t="s">
        <v>401</v>
      </c>
      <c r="K58" s="40" t="s">
        <v>411</v>
      </c>
      <c r="L58" s="71">
        <v>71872600</v>
      </c>
      <c r="M58" s="72">
        <v>97672349</v>
      </c>
      <c r="N58" s="71">
        <v>71885350</v>
      </c>
      <c r="O58" s="21" t="s">
        <v>75</v>
      </c>
      <c r="P58" s="69"/>
      <c r="Q58" s="107"/>
      <c r="R58" s="37"/>
    </row>
    <row r="59" spans="1:19" ht="39.75" customHeight="1">
      <c r="A59" s="96">
        <f t="shared" si="8"/>
        <v>50</v>
      </c>
      <c r="B59" s="106">
        <f t="shared" si="6"/>
        <v>18</v>
      </c>
      <c r="C59" s="23" t="s">
        <v>526</v>
      </c>
      <c r="D59" s="21" t="s">
        <v>15</v>
      </c>
      <c r="E59" s="22" t="s">
        <v>103</v>
      </c>
      <c r="F59" s="22" t="s">
        <v>115</v>
      </c>
      <c r="G59" s="129" t="s">
        <v>478</v>
      </c>
      <c r="H59" s="22" t="s">
        <v>116</v>
      </c>
      <c r="I59" s="31" t="s">
        <v>222</v>
      </c>
      <c r="J59" s="32">
        <v>43382</v>
      </c>
      <c r="K59" s="40" t="s">
        <v>227</v>
      </c>
      <c r="L59" s="22">
        <v>717872600</v>
      </c>
      <c r="M59" s="33">
        <v>98537089</v>
      </c>
      <c r="N59" s="22">
        <v>71885350</v>
      </c>
      <c r="O59" s="21" t="s">
        <v>75</v>
      </c>
      <c r="P59" s="69"/>
      <c r="Q59" s="107"/>
      <c r="R59" s="37"/>
      <c r="S59" s="12"/>
    </row>
    <row r="60" spans="1:19" s="12" customFormat="1" ht="63.75" customHeight="1">
      <c r="A60" s="100">
        <f t="shared" si="8"/>
        <v>51</v>
      </c>
      <c r="B60" s="135">
        <f t="shared" si="6"/>
        <v>19</v>
      </c>
      <c r="C60" s="23" t="s">
        <v>526</v>
      </c>
      <c r="D60" s="23" t="s">
        <v>15</v>
      </c>
      <c r="E60" s="28" t="s">
        <v>103</v>
      </c>
      <c r="F60" s="28" t="s">
        <v>117</v>
      </c>
      <c r="G60" s="129" t="s">
        <v>479</v>
      </c>
      <c r="H60" s="28" t="s">
        <v>118</v>
      </c>
      <c r="I60" s="31" t="s">
        <v>514</v>
      </c>
      <c r="J60" s="31"/>
      <c r="K60" s="40" t="s">
        <v>513</v>
      </c>
      <c r="L60" s="28">
        <v>71872600</v>
      </c>
      <c r="M60" s="64">
        <v>98436178</v>
      </c>
      <c r="N60" s="28">
        <v>71885350</v>
      </c>
      <c r="O60" s="23" t="s">
        <v>75</v>
      </c>
      <c r="P60" s="25"/>
      <c r="Q60" s="107" t="s">
        <v>508</v>
      </c>
      <c r="R60" s="30"/>
    </row>
    <row r="61" spans="1:19" s="12" customFormat="1" ht="39.75" customHeight="1">
      <c r="A61" s="100">
        <f t="shared" si="8"/>
        <v>52</v>
      </c>
      <c r="B61" s="135">
        <f t="shared" si="6"/>
        <v>20</v>
      </c>
      <c r="C61" s="23" t="s">
        <v>526</v>
      </c>
      <c r="D61" s="23" t="s">
        <v>15</v>
      </c>
      <c r="E61" s="28" t="s">
        <v>119</v>
      </c>
      <c r="F61" s="28" t="s">
        <v>120</v>
      </c>
      <c r="G61" s="129" t="s">
        <v>480</v>
      </c>
      <c r="H61" s="28" t="s">
        <v>121</v>
      </c>
      <c r="I61" s="31" t="s">
        <v>430</v>
      </c>
      <c r="J61" s="32"/>
      <c r="K61" s="40" t="s">
        <v>431</v>
      </c>
      <c r="L61" s="28">
        <v>71872600</v>
      </c>
      <c r="M61" s="64">
        <v>22489216</v>
      </c>
      <c r="N61" s="28">
        <v>71885190</v>
      </c>
      <c r="O61" s="23" t="s">
        <v>75</v>
      </c>
      <c r="P61" s="25"/>
      <c r="Q61" s="107"/>
      <c r="R61" s="30"/>
    </row>
    <row r="62" spans="1:19" s="7" customFormat="1" ht="49.5" customHeight="1">
      <c r="A62" s="96">
        <f t="shared" si="8"/>
        <v>53</v>
      </c>
      <c r="B62" s="106">
        <f t="shared" si="6"/>
        <v>21</v>
      </c>
      <c r="C62" s="23" t="s">
        <v>526</v>
      </c>
      <c r="D62" s="27" t="s">
        <v>15</v>
      </c>
      <c r="E62" s="62" t="s">
        <v>103</v>
      </c>
      <c r="F62" s="62" t="s">
        <v>122</v>
      </c>
      <c r="G62" s="129" t="s">
        <v>481</v>
      </c>
      <c r="H62" s="28" t="s">
        <v>154</v>
      </c>
      <c r="I62" s="120" t="s">
        <v>586</v>
      </c>
      <c r="J62" s="120"/>
      <c r="K62" s="73" t="s">
        <v>302</v>
      </c>
      <c r="L62" s="62"/>
      <c r="M62" s="63"/>
      <c r="N62" s="62">
        <v>71885480</v>
      </c>
      <c r="O62" s="21" t="s">
        <v>75</v>
      </c>
      <c r="P62" s="74"/>
      <c r="Q62" s="107" t="s">
        <v>432</v>
      </c>
      <c r="R62" s="75"/>
    </row>
    <row r="63" spans="1:19" s="8" customFormat="1" ht="62.25" customHeight="1">
      <c r="A63" s="100">
        <f t="shared" si="8"/>
        <v>54</v>
      </c>
      <c r="B63" s="135">
        <f t="shared" si="6"/>
        <v>22</v>
      </c>
      <c r="C63" s="23" t="s">
        <v>526</v>
      </c>
      <c r="D63" s="23" t="s">
        <v>15</v>
      </c>
      <c r="E63" s="28" t="s">
        <v>76</v>
      </c>
      <c r="F63" s="28" t="s">
        <v>160</v>
      </c>
      <c r="G63" s="129" t="s">
        <v>482</v>
      </c>
      <c r="H63" s="28" t="s">
        <v>161</v>
      </c>
      <c r="I63" s="31" t="s">
        <v>433</v>
      </c>
      <c r="J63" s="32"/>
      <c r="K63" s="40" t="s">
        <v>434</v>
      </c>
      <c r="L63" s="28">
        <v>71882200</v>
      </c>
      <c r="M63" s="42">
        <v>98270535</v>
      </c>
      <c r="N63" s="28">
        <v>71883424</v>
      </c>
      <c r="O63" s="23" t="s">
        <v>75</v>
      </c>
      <c r="P63" s="23"/>
      <c r="Q63" s="107"/>
      <c r="R63" s="28"/>
    </row>
    <row r="64" spans="1:19" s="7" customFormat="1" ht="39.75" customHeight="1">
      <c r="A64" s="96">
        <f t="shared" si="8"/>
        <v>55</v>
      </c>
      <c r="B64" s="106">
        <f t="shared" si="6"/>
        <v>23</v>
      </c>
      <c r="C64" s="23" t="s">
        <v>526</v>
      </c>
      <c r="D64" s="27" t="s">
        <v>15</v>
      </c>
      <c r="E64" s="62" t="s">
        <v>72</v>
      </c>
      <c r="F64" s="62" t="s">
        <v>171</v>
      </c>
      <c r="G64" s="129" t="s">
        <v>483</v>
      </c>
      <c r="H64" s="62" t="s">
        <v>172</v>
      </c>
      <c r="I64" s="35" t="s">
        <v>173</v>
      </c>
      <c r="J64" s="36">
        <v>43382</v>
      </c>
      <c r="K64" s="28" t="s">
        <v>197</v>
      </c>
      <c r="L64" s="39">
        <v>71872600</v>
      </c>
      <c r="M64" s="63">
        <v>22549241</v>
      </c>
      <c r="N64" s="62">
        <v>71885480</v>
      </c>
      <c r="O64" s="21" t="s">
        <v>75</v>
      </c>
      <c r="P64" s="74"/>
      <c r="Q64" s="25"/>
      <c r="R64" s="75"/>
    </row>
    <row r="65" spans="1:18" s="7" customFormat="1" ht="39.75" customHeight="1">
      <c r="A65" s="96">
        <f t="shared" si="8"/>
        <v>56</v>
      </c>
      <c r="B65" s="106">
        <f t="shared" si="6"/>
        <v>24</v>
      </c>
      <c r="C65" s="23" t="s">
        <v>526</v>
      </c>
      <c r="D65" s="27" t="s">
        <v>15</v>
      </c>
      <c r="E65" s="22" t="s">
        <v>79</v>
      </c>
      <c r="F65" s="62" t="s">
        <v>199</v>
      </c>
      <c r="G65" s="129" t="s">
        <v>484</v>
      </c>
      <c r="H65" s="28" t="s">
        <v>198</v>
      </c>
      <c r="I65" s="35" t="s">
        <v>144</v>
      </c>
      <c r="J65" s="36">
        <v>43382</v>
      </c>
      <c r="K65" s="28" t="s">
        <v>200</v>
      </c>
      <c r="L65" s="39" t="s">
        <v>201</v>
      </c>
      <c r="M65" s="63">
        <v>20218704</v>
      </c>
      <c r="N65" s="62">
        <v>71885480</v>
      </c>
      <c r="O65" s="21" t="s">
        <v>75</v>
      </c>
      <c r="P65" s="74"/>
      <c r="Q65" s="25"/>
      <c r="R65" s="75"/>
    </row>
    <row r="66" spans="1:18" s="7" customFormat="1" ht="39.75" customHeight="1">
      <c r="A66" s="96">
        <f t="shared" si="8"/>
        <v>57</v>
      </c>
      <c r="B66" s="106">
        <f t="shared" si="6"/>
        <v>25</v>
      </c>
      <c r="C66" s="23" t="s">
        <v>526</v>
      </c>
      <c r="D66" s="27" t="s">
        <v>15</v>
      </c>
      <c r="E66" s="62" t="s">
        <v>72</v>
      </c>
      <c r="F66" s="62" t="s">
        <v>239</v>
      </c>
      <c r="G66" s="126" t="s">
        <v>485</v>
      </c>
      <c r="H66" s="62" t="s">
        <v>237</v>
      </c>
      <c r="I66" s="35" t="s">
        <v>238</v>
      </c>
      <c r="J66" s="35" t="s">
        <v>340</v>
      </c>
      <c r="K66" s="28" t="s">
        <v>248</v>
      </c>
      <c r="L66" s="39"/>
      <c r="M66" s="63" t="s">
        <v>249</v>
      </c>
      <c r="N66" s="62"/>
      <c r="O66" s="21" t="s">
        <v>75</v>
      </c>
      <c r="P66" s="74"/>
      <c r="Q66" s="25" t="s">
        <v>273</v>
      </c>
      <c r="R66" s="75"/>
    </row>
    <row r="67" spans="1:18" s="7" customFormat="1" ht="39.75" customHeight="1">
      <c r="A67" s="96">
        <f t="shared" si="8"/>
        <v>58</v>
      </c>
      <c r="B67" s="106">
        <f t="shared" si="6"/>
        <v>26</v>
      </c>
      <c r="C67" s="23" t="s">
        <v>526</v>
      </c>
      <c r="D67" s="27" t="s">
        <v>15</v>
      </c>
      <c r="E67" s="22" t="s">
        <v>90</v>
      </c>
      <c r="F67" s="62" t="s">
        <v>246</v>
      </c>
      <c r="G67" s="129" t="s">
        <v>347</v>
      </c>
      <c r="H67" s="62" t="s">
        <v>240</v>
      </c>
      <c r="I67" s="31" t="s">
        <v>369</v>
      </c>
      <c r="J67" s="35" t="s">
        <v>340</v>
      </c>
      <c r="K67" s="52" t="s">
        <v>370</v>
      </c>
      <c r="L67" s="39"/>
      <c r="M67" s="63">
        <v>22531197</v>
      </c>
      <c r="N67" s="62"/>
      <c r="O67" s="21" t="s">
        <v>75</v>
      </c>
      <c r="P67" s="74"/>
      <c r="Q67" s="25" t="s">
        <v>371</v>
      </c>
      <c r="R67" s="75"/>
    </row>
    <row r="68" spans="1:18" s="7" customFormat="1" ht="39.75" customHeight="1">
      <c r="A68" s="96">
        <f t="shared" si="8"/>
        <v>59</v>
      </c>
      <c r="B68" s="106">
        <f t="shared" si="6"/>
        <v>27</v>
      </c>
      <c r="C68" s="23" t="s">
        <v>526</v>
      </c>
      <c r="D68" s="27" t="s">
        <v>15</v>
      </c>
      <c r="E68" s="62" t="s">
        <v>72</v>
      </c>
      <c r="F68" s="76" t="s">
        <v>247</v>
      </c>
      <c r="G68" s="129" t="s">
        <v>339</v>
      </c>
      <c r="H68" s="62" t="s">
        <v>241</v>
      </c>
      <c r="I68" s="31" t="s">
        <v>345</v>
      </c>
      <c r="J68" s="35" t="s">
        <v>340</v>
      </c>
      <c r="K68" s="40" t="s">
        <v>372</v>
      </c>
      <c r="L68" s="39"/>
      <c r="M68" s="63">
        <v>95706891</v>
      </c>
      <c r="N68" s="62"/>
      <c r="O68" s="21" t="s">
        <v>75</v>
      </c>
      <c r="P68" s="74"/>
      <c r="Q68" s="25" t="s">
        <v>346</v>
      </c>
      <c r="R68" s="75"/>
    </row>
    <row r="69" spans="1:18" s="7" customFormat="1" ht="39.75" customHeight="1">
      <c r="A69" s="96">
        <f t="shared" si="8"/>
        <v>60</v>
      </c>
      <c r="B69" s="106">
        <f t="shared" si="6"/>
        <v>28</v>
      </c>
      <c r="C69" s="23" t="s">
        <v>526</v>
      </c>
      <c r="D69" s="27" t="s">
        <v>15</v>
      </c>
      <c r="E69" s="62" t="s">
        <v>72</v>
      </c>
      <c r="F69" s="62" t="s">
        <v>251</v>
      </c>
      <c r="G69" s="129" t="s">
        <v>486</v>
      </c>
      <c r="H69" s="62" t="s">
        <v>242</v>
      </c>
      <c r="I69" s="35" t="s">
        <v>250</v>
      </c>
      <c r="J69" s="35" t="s">
        <v>340</v>
      </c>
      <c r="K69" s="40" t="s">
        <v>253</v>
      </c>
      <c r="L69" s="39" t="s">
        <v>252</v>
      </c>
      <c r="M69" s="77">
        <v>98616633</v>
      </c>
      <c r="N69" s="62"/>
      <c r="O69" s="21" t="s">
        <v>75</v>
      </c>
      <c r="P69" s="74"/>
      <c r="Q69" s="25" t="s">
        <v>274</v>
      </c>
      <c r="R69" s="75"/>
    </row>
    <row r="70" spans="1:18" s="7" customFormat="1" ht="39.75" customHeight="1">
      <c r="A70" s="96">
        <f t="shared" si="8"/>
        <v>61</v>
      </c>
      <c r="B70" s="106">
        <f t="shared" si="6"/>
        <v>29</v>
      </c>
      <c r="C70" s="23" t="s">
        <v>526</v>
      </c>
      <c r="D70" s="27" t="s">
        <v>15</v>
      </c>
      <c r="E70" s="22" t="s">
        <v>90</v>
      </c>
      <c r="F70" s="62" t="s">
        <v>254</v>
      </c>
      <c r="G70" s="129" t="s">
        <v>487</v>
      </c>
      <c r="H70" s="62" t="s">
        <v>243</v>
      </c>
      <c r="I70" s="35" t="s">
        <v>255</v>
      </c>
      <c r="J70" s="35" t="s">
        <v>340</v>
      </c>
      <c r="K70" s="28" t="s">
        <v>256</v>
      </c>
      <c r="L70" s="39"/>
      <c r="M70" s="77">
        <v>98667597</v>
      </c>
      <c r="N70" s="62"/>
      <c r="O70" s="21" t="s">
        <v>75</v>
      </c>
      <c r="P70" s="74"/>
      <c r="Q70" s="25" t="s">
        <v>305</v>
      </c>
      <c r="R70" s="75"/>
    </row>
    <row r="71" spans="1:18" s="7" customFormat="1" ht="39.75" customHeight="1">
      <c r="A71" s="96">
        <f t="shared" si="8"/>
        <v>62</v>
      </c>
      <c r="B71" s="106">
        <f t="shared" si="6"/>
        <v>30</v>
      </c>
      <c r="C71" s="23" t="s">
        <v>526</v>
      </c>
      <c r="D71" s="27" t="s">
        <v>15</v>
      </c>
      <c r="E71" s="28" t="s">
        <v>76</v>
      </c>
      <c r="F71" s="62" t="s">
        <v>257</v>
      </c>
      <c r="G71" s="129" t="s">
        <v>488</v>
      </c>
      <c r="H71" s="62" t="s">
        <v>244</v>
      </c>
      <c r="I71" s="35" t="s">
        <v>259</v>
      </c>
      <c r="J71" s="35" t="s">
        <v>340</v>
      </c>
      <c r="K71" s="28" t="s">
        <v>258</v>
      </c>
      <c r="L71" s="78">
        <v>71883424</v>
      </c>
      <c r="M71" s="79">
        <v>98264607</v>
      </c>
      <c r="N71" s="62"/>
      <c r="O71" s="21" t="s">
        <v>75</v>
      </c>
      <c r="P71" s="74"/>
      <c r="Q71" s="25" t="s">
        <v>275</v>
      </c>
      <c r="R71" s="75"/>
    </row>
    <row r="72" spans="1:18" s="7" customFormat="1" ht="39.75" customHeight="1">
      <c r="A72" s="96">
        <f t="shared" si="8"/>
        <v>63</v>
      </c>
      <c r="B72" s="106">
        <f t="shared" si="6"/>
        <v>31</v>
      </c>
      <c r="C72" s="23" t="s">
        <v>526</v>
      </c>
      <c r="D72" s="27" t="s">
        <v>15</v>
      </c>
      <c r="E72" s="22" t="s">
        <v>103</v>
      </c>
      <c r="F72" s="62" t="s">
        <v>260</v>
      </c>
      <c r="G72" s="129" t="s">
        <v>489</v>
      </c>
      <c r="H72" s="62" t="s">
        <v>245</v>
      </c>
      <c r="I72" s="35" t="s">
        <v>267</v>
      </c>
      <c r="J72" s="35" t="s">
        <v>340</v>
      </c>
      <c r="K72" s="28" t="s">
        <v>261</v>
      </c>
      <c r="L72" s="39"/>
      <c r="M72" s="79">
        <v>50693435</v>
      </c>
      <c r="N72" s="62"/>
      <c r="O72" s="21" t="s">
        <v>75</v>
      </c>
      <c r="P72" s="74"/>
      <c r="Q72" s="25" t="s">
        <v>276</v>
      </c>
      <c r="R72" s="75"/>
    </row>
    <row r="73" spans="1:18" s="7" customFormat="1" ht="39.75" customHeight="1">
      <c r="A73" s="96">
        <f t="shared" si="8"/>
        <v>64</v>
      </c>
      <c r="B73" s="106">
        <f t="shared" si="6"/>
        <v>32</v>
      </c>
      <c r="C73" s="23" t="s">
        <v>526</v>
      </c>
      <c r="D73" s="27" t="s">
        <v>15</v>
      </c>
      <c r="E73" s="22" t="s">
        <v>269</v>
      </c>
      <c r="F73" s="62" t="s">
        <v>268</v>
      </c>
      <c r="G73" s="129" t="s">
        <v>490</v>
      </c>
      <c r="H73" s="62" t="s">
        <v>266</v>
      </c>
      <c r="I73" s="31" t="s">
        <v>402</v>
      </c>
      <c r="J73" s="31" t="s">
        <v>401</v>
      </c>
      <c r="K73" s="40" t="s">
        <v>412</v>
      </c>
      <c r="L73" s="39"/>
      <c r="M73" s="79"/>
      <c r="N73" s="62"/>
      <c r="O73" s="21" t="s">
        <v>75</v>
      </c>
      <c r="P73" s="74"/>
      <c r="Q73" s="25" t="s">
        <v>428</v>
      </c>
      <c r="R73" s="75"/>
    </row>
    <row r="74" spans="1:18" s="7" customFormat="1" ht="62.25" customHeight="1">
      <c r="A74" s="96">
        <f t="shared" si="8"/>
        <v>65</v>
      </c>
      <c r="B74" s="106">
        <f t="shared" si="6"/>
        <v>33</v>
      </c>
      <c r="C74" s="23" t="s">
        <v>526</v>
      </c>
      <c r="D74" s="27" t="s">
        <v>15</v>
      </c>
      <c r="E74" s="22" t="s">
        <v>269</v>
      </c>
      <c r="F74" s="80" t="s">
        <v>286</v>
      </c>
      <c r="G74" s="129" t="s">
        <v>288</v>
      </c>
      <c r="H74" s="62" t="s">
        <v>283</v>
      </c>
      <c r="I74" s="35" t="s">
        <v>285</v>
      </c>
      <c r="J74" s="35" t="s">
        <v>343</v>
      </c>
      <c r="K74" s="52" t="s">
        <v>287</v>
      </c>
      <c r="L74" s="78">
        <v>71872600</v>
      </c>
      <c r="M74" s="78">
        <v>98320470</v>
      </c>
      <c r="N74" s="62"/>
      <c r="O74" s="21" t="s">
        <v>75</v>
      </c>
      <c r="P74" s="74"/>
      <c r="Q74" s="25" t="s">
        <v>304</v>
      </c>
      <c r="R74" s="75"/>
    </row>
    <row r="75" spans="1:18" s="7" customFormat="1" ht="39.75" customHeight="1">
      <c r="A75" s="96">
        <f t="shared" si="8"/>
        <v>66</v>
      </c>
      <c r="B75" s="106">
        <f t="shared" si="6"/>
        <v>34</v>
      </c>
      <c r="C75" s="23" t="s">
        <v>526</v>
      </c>
      <c r="D75" s="27" t="s">
        <v>15</v>
      </c>
      <c r="E75" s="28" t="s">
        <v>76</v>
      </c>
      <c r="F75" s="92" t="s">
        <v>279</v>
      </c>
      <c r="G75" s="129" t="s">
        <v>491</v>
      </c>
      <c r="H75" s="62" t="s">
        <v>280</v>
      </c>
      <c r="I75" s="35" t="s">
        <v>145</v>
      </c>
      <c r="J75" s="35" t="s">
        <v>343</v>
      </c>
      <c r="K75" s="52" t="s">
        <v>281</v>
      </c>
      <c r="L75" s="39"/>
      <c r="M75" s="79">
        <v>98224999</v>
      </c>
      <c r="N75" s="62"/>
      <c r="O75" s="21" t="s">
        <v>75</v>
      </c>
      <c r="P75" s="74"/>
      <c r="Q75" s="25" t="s">
        <v>282</v>
      </c>
      <c r="R75" s="75"/>
    </row>
    <row r="76" spans="1:18" s="8" customFormat="1" ht="39.75" customHeight="1">
      <c r="A76" s="100">
        <f t="shared" si="8"/>
        <v>67</v>
      </c>
      <c r="B76" s="135">
        <f t="shared" si="6"/>
        <v>35</v>
      </c>
      <c r="C76" s="23" t="s">
        <v>526</v>
      </c>
      <c r="D76" s="23" t="s">
        <v>15</v>
      </c>
      <c r="E76" s="28" t="s">
        <v>79</v>
      </c>
      <c r="F76" s="93" t="s">
        <v>300</v>
      </c>
      <c r="G76" s="129" t="s">
        <v>295</v>
      </c>
      <c r="H76" s="28" t="s">
        <v>292</v>
      </c>
      <c r="I76" s="31" t="s">
        <v>511</v>
      </c>
      <c r="J76" s="31"/>
      <c r="K76" s="136" t="s">
        <v>510</v>
      </c>
      <c r="L76" s="42">
        <v>71871282</v>
      </c>
      <c r="M76" s="83">
        <v>98686710</v>
      </c>
      <c r="N76" s="28"/>
      <c r="O76" s="23" t="s">
        <v>75</v>
      </c>
      <c r="P76" s="25"/>
      <c r="Q76" s="25" t="s">
        <v>512</v>
      </c>
      <c r="R76" s="30"/>
    </row>
    <row r="77" spans="1:18" s="7" customFormat="1" ht="39.75" customHeight="1">
      <c r="A77" s="96">
        <f t="shared" si="8"/>
        <v>68</v>
      </c>
      <c r="B77" s="106">
        <f t="shared" si="6"/>
        <v>36</v>
      </c>
      <c r="C77" s="23" t="s">
        <v>526</v>
      </c>
      <c r="D77" s="27" t="s">
        <v>15</v>
      </c>
      <c r="E77" s="22" t="s">
        <v>79</v>
      </c>
      <c r="F77" s="92" t="s">
        <v>301</v>
      </c>
      <c r="G77" s="129" t="s">
        <v>296</v>
      </c>
      <c r="H77" s="62" t="s">
        <v>293</v>
      </c>
      <c r="I77" s="35" t="s">
        <v>294</v>
      </c>
      <c r="J77" s="35" t="s">
        <v>343</v>
      </c>
      <c r="K77" s="52" t="s">
        <v>302</v>
      </c>
      <c r="L77" s="78">
        <v>71872600</v>
      </c>
      <c r="M77" s="79">
        <v>98446056</v>
      </c>
      <c r="N77" s="62"/>
      <c r="O77" s="21" t="s">
        <v>75</v>
      </c>
      <c r="P77" s="74"/>
      <c r="Q77" s="25" t="s">
        <v>297</v>
      </c>
      <c r="R77" s="75"/>
    </row>
    <row r="78" spans="1:18" s="8" customFormat="1" ht="39.75" customHeight="1">
      <c r="A78" s="96">
        <f t="shared" si="8"/>
        <v>69</v>
      </c>
      <c r="B78" s="106">
        <f t="shared" si="6"/>
        <v>37</v>
      </c>
      <c r="C78" s="23" t="s">
        <v>526</v>
      </c>
      <c r="D78" s="23" t="s">
        <v>15</v>
      </c>
      <c r="E78" s="28" t="s">
        <v>76</v>
      </c>
      <c r="F78" s="93" t="s">
        <v>322</v>
      </c>
      <c r="G78" s="129" t="s">
        <v>492</v>
      </c>
      <c r="H78" s="28" t="s">
        <v>323</v>
      </c>
      <c r="I78" s="31" t="s">
        <v>324</v>
      </c>
      <c r="J78" s="35" t="s">
        <v>343</v>
      </c>
      <c r="K78" s="81" t="s">
        <v>325</v>
      </c>
      <c r="L78" s="82">
        <v>71455044</v>
      </c>
      <c r="M78" s="83">
        <v>97542135</v>
      </c>
      <c r="N78" s="28"/>
      <c r="O78" s="23" t="s">
        <v>75</v>
      </c>
      <c r="P78" s="25"/>
      <c r="Q78" s="25" t="s">
        <v>326</v>
      </c>
      <c r="R78" s="30"/>
    </row>
    <row r="79" spans="1:18" s="8" customFormat="1" ht="39.75" customHeight="1">
      <c r="A79" s="96">
        <f t="shared" si="8"/>
        <v>70</v>
      </c>
      <c r="B79" s="106">
        <f t="shared" si="6"/>
        <v>38</v>
      </c>
      <c r="C79" s="23" t="s">
        <v>526</v>
      </c>
      <c r="D79" s="23" t="s">
        <v>15</v>
      </c>
      <c r="E79" s="28" t="s">
        <v>76</v>
      </c>
      <c r="F79" s="93" t="s">
        <v>352</v>
      </c>
      <c r="G79" s="129" t="s">
        <v>348</v>
      </c>
      <c r="H79" s="28" t="s">
        <v>350</v>
      </c>
      <c r="I79" s="31" t="s">
        <v>592</v>
      </c>
      <c r="J79" s="35" t="s">
        <v>343</v>
      </c>
      <c r="K79" s="81" t="s">
        <v>384</v>
      </c>
      <c r="L79" s="82">
        <v>71872600</v>
      </c>
      <c r="M79" s="83">
        <v>22549517</v>
      </c>
      <c r="N79" s="28"/>
      <c r="O79" s="23" t="s">
        <v>75</v>
      </c>
      <c r="P79" s="25"/>
      <c r="Q79" s="25" t="s">
        <v>558</v>
      </c>
      <c r="R79" s="30"/>
    </row>
    <row r="80" spans="1:18" s="8" customFormat="1" ht="60.75" customHeight="1">
      <c r="A80" s="96">
        <f t="shared" si="8"/>
        <v>71</v>
      </c>
      <c r="B80" s="106">
        <f t="shared" si="6"/>
        <v>39</v>
      </c>
      <c r="C80" s="23" t="s">
        <v>526</v>
      </c>
      <c r="D80" s="131" t="s">
        <v>15</v>
      </c>
      <c r="E80" s="28" t="s">
        <v>76</v>
      </c>
      <c r="F80" s="93" t="s">
        <v>353</v>
      </c>
      <c r="G80" s="129" t="s">
        <v>349</v>
      </c>
      <c r="H80" s="28" t="s">
        <v>351</v>
      </c>
      <c r="I80" s="31" t="s">
        <v>591</v>
      </c>
      <c r="J80" s="35" t="s">
        <v>343</v>
      </c>
      <c r="K80" s="81" t="s">
        <v>385</v>
      </c>
      <c r="L80" s="82"/>
      <c r="M80" s="83">
        <v>98829703</v>
      </c>
      <c r="N80" s="28"/>
      <c r="O80" s="23" t="s">
        <v>75</v>
      </c>
      <c r="P80" s="25"/>
      <c r="Q80" s="25" t="s">
        <v>555</v>
      </c>
      <c r="R80" s="30"/>
    </row>
    <row r="81" spans="1:58" s="8" customFormat="1" ht="31.2">
      <c r="A81" s="96">
        <f t="shared" si="8"/>
        <v>72</v>
      </c>
      <c r="B81" s="106">
        <f t="shared" si="6"/>
        <v>40</v>
      </c>
      <c r="C81" s="23" t="s">
        <v>526</v>
      </c>
      <c r="D81" s="131" t="s">
        <v>15</v>
      </c>
      <c r="E81" s="22" t="s">
        <v>90</v>
      </c>
      <c r="F81" s="93" t="s">
        <v>396</v>
      </c>
      <c r="G81" s="126" t="s">
        <v>395</v>
      </c>
      <c r="H81" s="28" t="s">
        <v>389</v>
      </c>
      <c r="I81" s="31" t="s">
        <v>590</v>
      </c>
      <c r="J81" s="35"/>
      <c r="K81" s="81" t="s">
        <v>397</v>
      </c>
      <c r="L81" s="82"/>
      <c r="M81" s="83">
        <v>23165725</v>
      </c>
      <c r="N81" s="28"/>
      <c r="O81" s="23" t="s">
        <v>75</v>
      </c>
      <c r="P81" s="25"/>
      <c r="Q81" s="25" t="s">
        <v>559</v>
      </c>
      <c r="R81" s="30"/>
    </row>
    <row r="82" spans="1:58" s="8" customFormat="1" ht="69.75" customHeight="1">
      <c r="A82" s="96">
        <f t="shared" si="8"/>
        <v>73</v>
      </c>
      <c r="B82" s="106">
        <f t="shared" si="6"/>
        <v>41</v>
      </c>
      <c r="C82" s="23" t="s">
        <v>526</v>
      </c>
      <c r="D82" s="131" t="s">
        <v>15</v>
      </c>
      <c r="E82" s="62" t="s">
        <v>103</v>
      </c>
      <c r="F82" s="93" t="s">
        <v>398</v>
      </c>
      <c r="G82" s="129" t="s">
        <v>391</v>
      </c>
      <c r="H82" s="28" t="s">
        <v>390</v>
      </c>
      <c r="I82" s="31" t="s">
        <v>589</v>
      </c>
      <c r="J82" s="35"/>
      <c r="K82" s="81" t="s">
        <v>509</v>
      </c>
      <c r="L82" s="82"/>
      <c r="M82" s="83">
        <v>98468885</v>
      </c>
      <c r="N82" s="28"/>
      <c r="O82" s="23" t="s">
        <v>75</v>
      </c>
      <c r="P82" s="25"/>
      <c r="Q82" s="25" t="s">
        <v>561</v>
      </c>
      <c r="R82" s="30"/>
    </row>
    <row r="83" spans="1:58" s="8" customFormat="1" ht="65.25" customHeight="1">
      <c r="A83" s="96">
        <f t="shared" si="8"/>
        <v>74</v>
      </c>
      <c r="B83" s="106">
        <f t="shared" si="6"/>
        <v>42</v>
      </c>
      <c r="C83" s="23" t="s">
        <v>526</v>
      </c>
      <c r="D83" s="131" t="s">
        <v>15</v>
      </c>
      <c r="E83" s="62" t="s">
        <v>103</v>
      </c>
      <c r="F83" s="93" t="s">
        <v>524</v>
      </c>
      <c r="G83" s="129" t="s">
        <v>525</v>
      </c>
      <c r="H83" s="28" t="s">
        <v>521</v>
      </c>
      <c r="I83" s="31" t="s">
        <v>588</v>
      </c>
      <c r="J83" s="31"/>
      <c r="K83" s="81" t="s">
        <v>583</v>
      </c>
      <c r="L83" s="82"/>
      <c r="M83" s="83"/>
      <c r="N83" s="28"/>
      <c r="O83" s="23" t="s">
        <v>422</v>
      </c>
      <c r="P83" s="25"/>
      <c r="Q83" s="25" t="s">
        <v>550</v>
      </c>
      <c r="R83" s="30"/>
    </row>
    <row r="84" spans="1:58" s="8" customFormat="1" ht="45" customHeight="1">
      <c r="A84" s="100">
        <f t="shared" si="8"/>
        <v>75</v>
      </c>
      <c r="B84" s="135">
        <f t="shared" si="6"/>
        <v>43</v>
      </c>
      <c r="C84" s="23" t="s">
        <v>526</v>
      </c>
      <c r="D84" s="131" t="s">
        <v>15</v>
      </c>
      <c r="E84" s="46" t="s">
        <v>190</v>
      </c>
      <c r="F84" s="48" t="s">
        <v>191</v>
      </c>
      <c r="G84" s="130" t="s">
        <v>523</v>
      </c>
      <c r="H84" s="28" t="s">
        <v>522</v>
      </c>
      <c r="I84" s="48" t="s">
        <v>192</v>
      </c>
      <c r="J84" s="28" t="s">
        <v>340</v>
      </c>
      <c r="K84" s="48" t="s">
        <v>235</v>
      </c>
      <c r="L84" s="48">
        <v>98445766</v>
      </c>
      <c r="M84" s="48">
        <v>22294219</v>
      </c>
      <c r="N84" s="48"/>
      <c r="O84" s="23" t="s">
        <v>422</v>
      </c>
      <c r="P84" s="147"/>
      <c r="Q84" s="25" t="s">
        <v>556</v>
      </c>
    </row>
    <row r="85" spans="1:58" ht="20.25" customHeight="1">
      <c r="A85" s="98"/>
      <c r="B85" s="109"/>
      <c r="C85" s="54"/>
      <c r="D85" s="54"/>
      <c r="E85" s="55"/>
      <c r="F85" s="55"/>
      <c r="G85" s="55"/>
      <c r="H85" s="54"/>
      <c r="I85" s="55"/>
      <c r="J85" s="55"/>
      <c r="K85" s="55"/>
      <c r="L85" s="55"/>
      <c r="M85" s="57"/>
      <c r="N85" s="55"/>
      <c r="O85" s="55"/>
      <c r="P85" s="55"/>
      <c r="Q85" s="25"/>
      <c r="R85" s="55"/>
    </row>
    <row r="86" spans="1:58" s="10" customFormat="1" ht="39.75" customHeight="1">
      <c r="A86" s="100">
        <f>A84+1</f>
        <v>76</v>
      </c>
      <c r="B86" s="110">
        <v>1</v>
      </c>
      <c r="C86" s="27" t="s">
        <v>123</v>
      </c>
      <c r="D86" s="27" t="s">
        <v>15</v>
      </c>
      <c r="E86" s="62" t="s">
        <v>124</v>
      </c>
      <c r="F86" s="62" t="s">
        <v>156</v>
      </c>
      <c r="G86" s="129" t="s">
        <v>503</v>
      </c>
      <c r="H86" s="28" t="s">
        <v>155</v>
      </c>
      <c r="I86" s="31" t="s">
        <v>202</v>
      </c>
      <c r="J86" s="32">
        <v>43636</v>
      </c>
      <c r="K86" s="28" t="s">
        <v>234</v>
      </c>
      <c r="L86" s="62">
        <v>71561439</v>
      </c>
      <c r="M86" s="63"/>
      <c r="N86" s="62">
        <v>71571911</v>
      </c>
      <c r="O86" s="27" t="s">
        <v>125</v>
      </c>
      <c r="P86" s="27"/>
      <c r="Q86" s="25"/>
      <c r="R86" s="62"/>
    </row>
    <row r="87" spans="1:58" s="8" customFormat="1" ht="60" customHeight="1" thickBot="1">
      <c r="A87" s="100">
        <f>A86+1</f>
        <v>77</v>
      </c>
      <c r="B87" s="23">
        <f>B86+1</f>
        <v>2</v>
      </c>
      <c r="C87" s="23" t="s">
        <v>123</v>
      </c>
      <c r="D87" s="131" t="s">
        <v>15</v>
      </c>
      <c r="E87" s="23" t="s">
        <v>147</v>
      </c>
      <c r="F87" s="28" t="s">
        <v>169</v>
      </c>
      <c r="G87" s="148" t="s">
        <v>541</v>
      </c>
      <c r="H87" s="28" t="s">
        <v>542</v>
      </c>
      <c r="I87" s="149" t="s">
        <v>587</v>
      </c>
      <c r="J87" s="59" t="s">
        <v>517</v>
      </c>
      <c r="K87" s="60" t="s">
        <v>593</v>
      </c>
      <c r="L87" s="28"/>
      <c r="M87" s="28">
        <v>21175863</v>
      </c>
      <c r="N87" s="28"/>
      <c r="O87" s="28" t="s">
        <v>125</v>
      </c>
      <c r="P87" s="142"/>
      <c r="Q87" s="25" t="s">
        <v>567</v>
      </c>
    </row>
    <row r="88" spans="1:58" ht="20.25" customHeight="1">
      <c r="A88" s="98"/>
      <c r="B88" s="109"/>
      <c r="C88" s="54"/>
      <c r="D88" s="54"/>
      <c r="E88" s="55"/>
      <c r="F88" s="55"/>
      <c r="G88" s="55"/>
      <c r="H88" s="54"/>
      <c r="I88" s="55"/>
      <c r="J88" s="55"/>
      <c r="K88" s="55"/>
      <c r="L88" s="55"/>
      <c r="M88" s="57"/>
      <c r="N88" s="55"/>
      <c r="O88" s="55"/>
      <c r="P88" s="55"/>
      <c r="Q88" s="25"/>
      <c r="R88" s="55"/>
    </row>
    <row r="89" spans="1:58" s="10" customFormat="1" ht="39.75" customHeight="1">
      <c r="A89" s="100">
        <f>A87+1</f>
        <v>78</v>
      </c>
      <c r="B89" s="110">
        <v>1</v>
      </c>
      <c r="C89" s="27" t="s">
        <v>177</v>
      </c>
      <c r="D89" s="27" t="s">
        <v>15</v>
      </c>
      <c r="E89" s="62" t="s">
        <v>178</v>
      </c>
      <c r="F89" s="62" t="s">
        <v>179</v>
      </c>
      <c r="G89" s="129" t="s">
        <v>504</v>
      </c>
      <c r="H89" s="62" t="s">
        <v>180</v>
      </c>
      <c r="I89" s="35" t="s">
        <v>181</v>
      </c>
      <c r="J89" s="36">
        <v>43382</v>
      </c>
      <c r="K89" s="28" t="s">
        <v>208</v>
      </c>
      <c r="L89" s="62">
        <v>71561439</v>
      </c>
      <c r="M89" s="63">
        <v>98365000</v>
      </c>
      <c r="N89" s="62">
        <v>71571911</v>
      </c>
      <c r="O89" s="27" t="s">
        <v>182</v>
      </c>
      <c r="P89" s="27"/>
      <c r="Q89" s="25"/>
      <c r="R89" s="62"/>
    </row>
    <row r="90" spans="1:58" s="19" customFormat="1" ht="24" customHeight="1">
      <c r="A90" s="101"/>
      <c r="B90" s="111"/>
      <c r="C90" s="84"/>
      <c r="D90" s="85"/>
      <c r="E90" s="86"/>
      <c r="F90" s="86"/>
      <c r="G90" s="86"/>
      <c r="H90" s="84"/>
      <c r="I90" s="86"/>
      <c r="J90" s="86"/>
      <c r="K90" s="86"/>
      <c r="L90" s="86"/>
      <c r="M90" s="87"/>
      <c r="N90" s="86"/>
      <c r="O90" s="86"/>
      <c r="P90" s="86"/>
      <c r="Q90" s="25"/>
      <c r="R90" s="86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</row>
    <row r="91" spans="1:58" s="12" customFormat="1" ht="35.25" customHeight="1">
      <c r="A91" s="102">
        <f>A89+1</f>
        <v>79</v>
      </c>
      <c r="B91" s="112">
        <v>1</v>
      </c>
      <c r="C91" s="65" t="s">
        <v>146</v>
      </c>
      <c r="D91" s="27" t="s">
        <v>15</v>
      </c>
      <c r="E91" s="28" t="s">
        <v>79</v>
      </c>
      <c r="F91" s="88" t="s">
        <v>262</v>
      </c>
      <c r="G91" s="129" t="s">
        <v>501</v>
      </c>
      <c r="H91" s="62" t="s">
        <v>263</v>
      </c>
      <c r="I91" s="88" t="s">
        <v>264</v>
      </c>
      <c r="J91" s="35" t="s">
        <v>343</v>
      </c>
      <c r="K91" s="28" t="s">
        <v>265</v>
      </c>
      <c r="L91" s="89">
        <v>71573721</v>
      </c>
      <c r="M91" s="90">
        <v>98692745</v>
      </c>
      <c r="N91" s="88"/>
      <c r="O91" s="88" t="s">
        <v>58</v>
      </c>
      <c r="P91" s="88"/>
      <c r="Q91" s="25" t="s">
        <v>277</v>
      </c>
      <c r="R91" s="88"/>
    </row>
    <row r="92" spans="1:58" s="12" customFormat="1" ht="62.25" customHeight="1">
      <c r="A92" s="102">
        <f>A91+1</f>
        <v>80</v>
      </c>
      <c r="B92" s="112">
        <f>B91+1</f>
        <v>2</v>
      </c>
      <c r="C92" s="65" t="s">
        <v>146</v>
      </c>
      <c r="D92" s="27" t="s">
        <v>15</v>
      </c>
      <c r="E92" s="28" t="s">
        <v>72</v>
      </c>
      <c r="F92" s="88" t="s">
        <v>421</v>
      </c>
      <c r="G92" s="129" t="s">
        <v>418</v>
      </c>
      <c r="H92" s="28" t="s">
        <v>419</v>
      </c>
      <c r="I92" s="88" t="s">
        <v>420</v>
      </c>
      <c r="J92" s="31"/>
      <c r="K92" s="28" t="s">
        <v>436</v>
      </c>
      <c r="L92" s="89">
        <v>71573722</v>
      </c>
      <c r="M92" s="90">
        <v>98925824</v>
      </c>
      <c r="N92" s="88"/>
      <c r="O92" s="88" t="s">
        <v>58</v>
      </c>
      <c r="P92" s="88"/>
      <c r="Q92" s="25" t="s">
        <v>557</v>
      </c>
      <c r="R92" s="88"/>
    </row>
    <row r="93" spans="1:58" ht="24" customHeight="1">
      <c r="A93" s="98"/>
      <c r="B93" s="109"/>
      <c r="C93" s="54"/>
      <c r="D93" s="54"/>
      <c r="E93" s="55"/>
      <c r="F93" s="55"/>
      <c r="G93" s="55"/>
      <c r="H93" s="54"/>
      <c r="I93" s="55"/>
      <c r="J93" s="55"/>
      <c r="K93" s="55"/>
      <c r="L93" s="55"/>
      <c r="M93" s="57"/>
      <c r="N93" s="55"/>
      <c r="O93" s="55"/>
      <c r="P93" s="55"/>
      <c r="Q93" s="25"/>
      <c r="R93" s="55"/>
    </row>
    <row r="94" spans="1:58" s="12" customFormat="1" ht="39.75" customHeight="1">
      <c r="A94" s="100">
        <f>A92+1</f>
        <v>81</v>
      </c>
      <c r="B94" s="135">
        <v>1</v>
      </c>
      <c r="C94" s="23" t="s">
        <v>548</v>
      </c>
      <c r="D94" s="23" t="s">
        <v>15</v>
      </c>
      <c r="E94" s="28" t="s">
        <v>54</v>
      </c>
      <c r="F94" s="28" t="s">
        <v>596</v>
      </c>
      <c r="H94" s="28"/>
      <c r="I94" s="88" t="s">
        <v>606</v>
      </c>
      <c r="J94" s="26"/>
      <c r="K94" s="28" t="s">
        <v>616</v>
      </c>
      <c r="L94" s="28"/>
      <c r="M94" s="28"/>
      <c r="N94" s="154">
        <v>71791833</v>
      </c>
      <c r="O94" s="23" t="s">
        <v>549</v>
      </c>
      <c r="P94" s="156" t="s">
        <v>622</v>
      </c>
      <c r="Q94" s="25"/>
      <c r="R94" s="161"/>
      <c r="S94" s="107"/>
    </row>
    <row r="95" spans="1:58" s="12" customFormat="1" ht="39.75" customHeight="1">
      <c r="A95" s="100">
        <f t="shared" ref="A95:A101" si="9">A94+1</f>
        <v>82</v>
      </c>
      <c r="B95" s="135">
        <f t="shared" ref="B95:B103" si="10">B94+1</f>
        <v>2</v>
      </c>
      <c r="C95" s="23" t="s">
        <v>548</v>
      </c>
      <c r="D95" s="23" t="s">
        <v>15</v>
      </c>
      <c r="E95" s="28" t="s">
        <v>54</v>
      </c>
      <c r="F95" s="28" t="s">
        <v>597</v>
      </c>
      <c r="H95" s="28"/>
      <c r="I95" s="88" t="s">
        <v>607</v>
      </c>
      <c r="J95" s="31"/>
      <c r="K95" s="28" t="s">
        <v>617</v>
      </c>
      <c r="L95" s="30"/>
      <c r="M95" s="41"/>
      <c r="N95" s="41">
        <v>71791833</v>
      </c>
      <c r="O95" s="23" t="s">
        <v>549</v>
      </c>
      <c r="P95" s="158" t="s">
        <v>623</v>
      </c>
      <c r="Q95" s="25"/>
      <c r="R95" s="162"/>
      <c r="S95" s="107"/>
    </row>
    <row r="96" spans="1:58" s="12" customFormat="1" ht="39.75" customHeight="1">
      <c r="A96" s="100">
        <f t="shared" si="9"/>
        <v>83</v>
      </c>
      <c r="B96" s="135">
        <f t="shared" si="10"/>
        <v>3</v>
      </c>
      <c r="C96" s="23" t="s">
        <v>548</v>
      </c>
      <c r="D96" s="23" t="s">
        <v>15</v>
      </c>
      <c r="E96" s="28" t="s">
        <v>54</v>
      </c>
      <c r="F96" s="28" t="s">
        <v>598</v>
      </c>
      <c r="H96" s="28"/>
      <c r="I96" s="88" t="s">
        <v>608</v>
      </c>
      <c r="J96" s="31"/>
      <c r="K96" s="28"/>
      <c r="L96" s="28"/>
      <c r="M96" s="28"/>
      <c r="N96" s="41">
        <v>71791833</v>
      </c>
      <c r="O96" s="23" t="s">
        <v>549</v>
      </c>
      <c r="P96" s="156" t="s">
        <v>624</v>
      </c>
      <c r="Q96" s="25"/>
      <c r="R96" s="162"/>
      <c r="S96" s="107"/>
    </row>
    <row r="97" spans="1:19" s="12" customFormat="1" ht="39.75" customHeight="1">
      <c r="A97" s="100">
        <f t="shared" si="9"/>
        <v>84</v>
      </c>
      <c r="B97" s="135">
        <f t="shared" si="10"/>
        <v>4</v>
      </c>
      <c r="C97" s="23" t="s">
        <v>548</v>
      </c>
      <c r="D97" s="23" t="s">
        <v>15</v>
      </c>
      <c r="E97" s="28" t="s">
        <v>54</v>
      </c>
      <c r="F97" s="28" t="s">
        <v>599</v>
      </c>
      <c r="H97" s="28"/>
      <c r="I97" s="88" t="s">
        <v>609</v>
      </c>
      <c r="J97" s="31"/>
      <c r="K97" s="40" t="s">
        <v>632</v>
      </c>
      <c r="L97" s="28"/>
      <c r="M97" s="28"/>
      <c r="N97" s="41">
        <v>71791833</v>
      </c>
      <c r="O97" s="23" t="s">
        <v>549</v>
      </c>
      <c r="P97" s="157" t="s">
        <v>625</v>
      </c>
      <c r="Q97" s="25"/>
      <c r="R97" s="162"/>
      <c r="S97" s="107"/>
    </row>
    <row r="98" spans="1:19" s="12" customFormat="1" ht="39.75" customHeight="1">
      <c r="A98" s="100">
        <f t="shared" si="9"/>
        <v>85</v>
      </c>
      <c r="B98" s="135">
        <f t="shared" si="10"/>
        <v>5</v>
      </c>
      <c r="C98" s="23" t="s">
        <v>548</v>
      </c>
      <c r="D98" s="23" t="s">
        <v>15</v>
      </c>
      <c r="E98" s="28" t="s">
        <v>54</v>
      </c>
      <c r="F98" s="28" t="s">
        <v>600</v>
      </c>
      <c r="H98" s="28"/>
      <c r="I98" s="88" t="s">
        <v>610</v>
      </c>
      <c r="J98" s="31"/>
      <c r="K98" s="28" t="s">
        <v>618</v>
      </c>
      <c r="L98" s="28"/>
      <c r="M98" s="28"/>
      <c r="N98" s="41">
        <v>71791833</v>
      </c>
      <c r="O98" s="23" t="s">
        <v>549</v>
      </c>
      <c r="P98" s="156" t="s">
        <v>626</v>
      </c>
      <c r="Q98" s="25"/>
      <c r="R98" s="162"/>
      <c r="S98" s="107"/>
    </row>
    <row r="99" spans="1:19" s="12" customFormat="1" ht="39.75" customHeight="1">
      <c r="A99" s="100">
        <f t="shared" si="9"/>
        <v>86</v>
      </c>
      <c r="B99" s="135">
        <f t="shared" si="10"/>
        <v>6</v>
      </c>
      <c r="C99" s="23" t="s">
        <v>548</v>
      </c>
      <c r="D99" s="23" t="s">
        <v>15</v>
      </c>
      <c r="E99" s="28" t="s">
        <v>54</v>
      </c>
      <c r="F99" s="28" t="s">
        <v>601</v>
      </c>
      <c r="H99" s="28"/>
      <c r="I99" s="88" t="s">
        <v>611</v>
      </c>
      <c r="J99" s="31"/>
      <c r="K99" s="28" t="s">
        <v>619</v>
      </c>
      <c r="L99" s="28"/>
      <c r="M99" s="28"/>
      <c r="N99" s="41">
        <v>71791833</v>
      </c>
      <c r="O99" s="23" t="s">
        <v>549</v>
      </c>
      <c r="P99" s="156" t="s">
        <v>627</v>
      </c>
      <c r="Q99" s="25"/>
      <c r="R99" s="162"/>
      <c r="S99" s="107"/>
    </row>
    <row r="100" spans="1:19" s="12" customFormat="1" ht="39.75" customHeight="1">
      <c r="A100" s="100">
        <f t="shared" si="9"/>
        <v>87</v>
      </c>
      <c r="B100" s="135">
        <f t="shared" si="10"/>
        <v>7</v>
      </c>
      <c r="C100" s="23" t="s">
        <v>548</v>
      </c>
      <c r="D100" s="23" t="s">
        <v>15</v>
      </c>
      <c r="E100" s="28" t="s">
        <v>54</v>
      </c>
      <c r="F100" s="28" t="s">
        <v>602</v>
      </c>
      <c r="H100" s="28"/>
      <c r="I100" s="88" t="s">
        <v>612</v>
      </c>
      <c r="J100" s="31"/>
      <c r="K100" s="28"/>
      <c r="L100" s="28"/>
      <c r="M100" s="28"/>
      <c r="N100" s="41">
        <v>71791833</v>
      </c>
      <c r="O100" s="23" t="s">
        <v>549</v>
      </c>
      <c r="P100" s="156" t="s">
        <v>628</v>
      </c>
      <c r="Q100" s="25"/>
      <c r="R100" s="162"/>
      <c r="S100" s="107"/>
    </row>
    <row r="101" spans="1:19" s="12" customFormat="1" ht="39.75" customHeight="1">
      <c r="A101" s="100">
        <f t="shared" si="9"/>
        <v>88</v>
      </c>
      <c r="B101" s="135">
        <f t="shared" si="10"/>
        <v>8</v>
      </c>
      <c r="C101" s="23" t="s">
        <v>548</v>
      </c>
      <c r="D101" s="23"/>
      <c r="E101" s="28" t="s">
        <v>54</v>
      </c>
      <c r="F101" s="28" t="s">
        <v>603</v>
      </c>
      <c r="H101" s="28"/>
      <c r="I101" s="88" t="s">
        <v>613</v>
      </c>
      <c r="J101" s="31"/>
      <c r="K101" s="28" t="s">
        <v>620</v>
      </c>
      <c r="L101" s="28"/>
      <c r="M101" s="41"/>
      <c r="N101" s="41">
        <v>71791833</v>
      </c>
      <c r="O101" s="23" t="s">
        <v>549</v>
      </c>
      <c r="P101" s="156" t="s">
        <v>629</v>
      </c>
      <c r="Q101" s="25"/>
      <c r="R101" s="162"/>
      <c r="S101" s="107"/>
    </row>
    <row r="102" spans="1:19" s="8" customFormat="1" ht="37.5" customHeight="1">
      <c r="A102" s="23">
        <f>A101+1</f>
        <v>89</v>
      </c>
      <c r="B102" s="135">
        <f t="shared" si="10"/>
        <v>9</v>
      </c>
      <c r="C102" s="23" t="s">
        <v>548</v>
      </c>
      <c r="D102" s="23" t="s">
        <v>15</v>
      </c>
      <c r="E102" s="28" t="s">
        <v>54</v>
      </c>
      <c r="F102" s="28" t="s">
        <v>604</v>
      </c>
      <c r="H102" s="28"/>
      <c r="I102" s="88" t="s">
        <v>614</v>
      </c>
      <c r="J102" s="31"/>
      <c r="K102" s="28"/>
      <c r="L102" s="28"/>
      <c r="M102" s="28"/>
      <c r="N102" s="41">
        <v>71791833</v>
      </c>
      <c r="O102" s="23" t="s">
        <v>549</v>
      </c>
      <c r="P102" s="156" t="s">
        <v>630</v>
      </c>
      <c r="Q102" s="25"/>
      <c r="R102" s="163"/>
      <c r="S102" s="107"/>
    </row>
    <row r="103" spans="1:19" s="8" customFormat="1" ht="39.75" customHeight="1">
      <c r="A103" s="23">
        <f>A102+1</f>
        <v>90</v>
      </c>
      <c r="B103" s="135">
        <f t="shared" si="10"/>
        <v>10</v>
      </c>
      <c r="C103" s="23" t="s">
        <v>548</v>
      </c>
      <c r="D103" s="23" t="s">
        <v>15</v>
      </c>
      <c r="E103" s="28" t="s">
        <v>54</v>
      </c>
      <c r="F103" s="28" t="s">
        <v>605</v>
      </c>
      <c r="H103" s="28"/>
      <c r="I103" s="88" t="s">
        <v>615</v>
      </c>
      <c r="J103" s="31"/>
      <c r="K103" s="28" t="s">
        <v>621</v>
      </c>
      <c r="L103" s="28"/>
      <c r="M103" s="28"/>
      <c r="N103" s="41">
        <v>71791833</v>
      </c>
      <c r="O103" s="23" t="s">
        <v>549</v>
      </c>
      <c r="P103" s="156" t="s">
        <v>631</v>
      </c>
      <c r="Q103" s="25"/>
      <c r="R103" s="155"/>
      <c r="S103" s="107"/>
    </row>
    <row r="104" spans="1:19" ht="24" customHeight="1">
      <c r="A104" s="98"/>
      <c r="B104" s="109"/>
      <c r="C104" s="54"/>
      <c r="D104" s="54"/>
      <c r="E104" s="55"/>
      <c r="F104" s="55"/>
      <c r="G104" s="55"/>
      <c r="H104" s="54"/>
      <c r="I104" s="55"/>
      <c r="J104" s="55"/>
      <c r="K104" s="55"/>
      <c r="L104" s="55"/>
      <c r="M104" s="57"/>
      <c r="N104" s="55"/>
      <c r="O104" s="55"/>
      <c r="P104" s="55"/>
      <c r="Q104" s="25"/>
      <c r="R104" s="55"/>
    </row>
    <row r="105" spans="1:19" ht="39.75" customHeight="1">
      <c r="A105" s="3">
        <v>91</v>
      </c>
      <c r="B105" s="106">
        <v>1</v>
      </c>
      <c r="C105" s="21" t="s">
        <v>126</v>
      </c>
      <c r="D105" s="21" t="s">
        <v>15</v>
      </c>
      <c r="E105" s="22" t="s">
        <v>54</v>
      </c>
      <c r="F105" s="22" t="s">
        <v>127</v>
      </c>
      <c r="G105" s="126" t="s">
        <v>493</v>
      </c>
      <c r="H105" s="21" t="s">
        <v>128</v>
      </c>
      <c r="I105" s="123" t="s">
        <v>535</v>
      </c>
      <c r="J105" s="31"/>
      <c r="K105" s="70" t="s">
        <v>536</v>
      </c>
      <c r="L105" s="22"/>
      <c r="M105" s="33">
        <v>99925993</v>
      </c>
      <c r="N105" s="22">
        <v>71564280</v>
      </c>
      <c r="O105" s="21" t="s">
        <v>129</v>
      </c>
      <c r="P105" s="21"/>
      <c r="Q105" s="25" t="s">
        <v>566</v>
      </c>
      <c r="R105" s="22"/>
    </row>
    <row r="106" spans="1:19" ht="75" customHeight="1">
      <c r="A106" s="3">
        <f t="shared" ref="A106:A113" si="11">A105+1</f>
        <v>92</v>
      </c>
      <c r="B106" s="106">
        <v>2</v>
      </c>
      <c r="C106" s="21" t="s">
        <v>126</v>
      </c>
      <c r="D106" s="21" t="s">
        <v>15</v>
      </c>
      <c r="E106" s="22" t="s">
        <v>54</v>
      </c>
      <c r="F106" s="22" t="s">
        <v>130</v>
      </c>
      <c r="G106" s="126" t="s">
        <v>494</v>
      </c>
      <c r="H106" s="62" t="s">
        <v>131</v>
      </c>
      <c r="I106" s="139" t="s">
        <v>594</v>
      </c>
      <c r="J106" s="36">
        <v>42263</v>
      </c>
      <c r="K106" s="45" t="s">
        <v>595</v>
      </c>
      <c r="L106" s="22">
        <v>71578181</v>
      </c>
      <c r="M106" s="33"/>
      <c r="N106" s="22">
        <v>71568744</v>
      </c>
      <c r="O106" s="21" t="s">
        <v>129</v>
      </c>
      <c r="P106" s="21"/>
      <c r="Q106" s="25" t="s">
        <v>565</v>
      </c>
      <c r="R106" s="22"/>
    </row>
    <row r="107" spans="1:19" ht="39.75" customHeight="1">
      <c r="A107" s="3">
        <f t="shared" si="11"/>
        <v>93</v>
      </c>
      <c r="B107" s="106">
        <f t="shared" ref="B107:B112" si="12">B106+1</f>
        <v>3</v>
      </c>
      <c r="C107" s="21" t="s">
        <v>126</v>
      </c>
      <c r="D107" s="21" t="s">
        <v>15</v>
      </c>
      <c r="E107" s="22" t="s">
        <v>54</v>
      </c>
      <c r="F107" s="22" t="s">
        <v>132</v>
      </c>
      <c r="G107" s="126" t="s">
        <v>495</v>
      </c>
      <c r="H107" s="22" t="s">
        <v>133</v>
      </c>
      <c r="I107" s="35" t="s">
        <v>167</v>
      </c>
      <c r="J107" s="36">
        <v>42551</v>
      </c>
      <c r="K107" s="45" t="s">
        <v>228</v>
      </c>
      <c r="L107" s="22"/>
      <c r="M107" s="33">
        <v>98516920</v>
      </c>
      <c r="N107" s="22">
        <v>71570553</v>
      </c>
      <c r="O107" s="21" t="s">
        <v>129</v>
      </c>
      <c r="P107" s="21"/>
      <c r="Q107" s="25"/>
      <c r="R107" s="22"/>
    </row>
    <row r="108" spans="1:19" ht="39.75" customHeight="1">
      <c r="A108" s="3">
        <f t="shared" si="11"/>
        <v>94</v>
      </c>
      <c r="B108" s="106">
        <f t="shared" si="12"/>
        <v>4</v>
      </c>
      <c r="C108" s="21" t="s">
        <v>126</v>
      </c>
      <c r="D108" s="21" t="s">
        <v>15</v>
      </c>
      <c r="E108" s="22" t="s">
        <v>54</v>
      </c>
      <c r="F108" s="22" t="s">
        <v>134</v>
      </c>
      <c r="G108" s="126" t="s">
        <v>496</v>
      </c>
      <c r="H108" s="22" t="s">
        <v>135</v>
      </c>
      <c r="I108" s="31" t="s">
        <v>206</v>
      </c>
      <c r="J108" s="31" t="s">
        <v>340</v>
      </c>
      <c r="K108" s="70" t="s">
        <v>414</v>
      </c>
      <c r="L108" s="22">
        <v>71561912</v>
      </c>
      <c r="M108" s="33">
        <v>95802073</v>
      </c>
      <c r="N108" s="22" t="s">
        <v>136</v>
      </c>
      <c r="O108" s="21" t="s">
        <v>129</v>
      </c>
      <c r="P108" s="21"/>
      <c r="Q108" s="25"/>
      <c r="R108" s="22"/>
    </row>
    <row r="109" spans="1:19" ht="39.75" customHeight="1">
      <c r="A109" s="3">
        <f t="shared" si="11"/>
        <v>95</v>
      </c>
      <c r="B109" s="106">
        <f t="shared" si="12"/>
        <v>5</v>
      </c>
      <c r="C109" s="21" t="s">
        <v>126</v>
      </c>
      <c r="D109" s="21" t="s">
        <v>15</v>
      </c>
      <c r="E109" s="22" t="s">
        <v>54</v>
      </c>
      <c r="F109" s="22" t="s">
        <v>137</v>
      </c>
      <c r="G109" s="126" t="s">
        <v>497</v>
      </c>
      <c r="H109" s="28" t="s">
        <v>138</v>
      </c>
      <c r="I109" s="31" t="s">
        <v>416</v>
      </c>
      <c r="J109" s="31"/>
      <c r="K109" s="45" t="s">
        <v>505</v>
      </c>
      <c r="L109" s="22" t="s">
        <v>139</v>
      </c>
      <c r="M109" s="39">
        <v>98358697</v>
      </c>
      <c r="N109" s="22">
        <v>71795889</v>
      </c>
      <c r="O109" s="21" t="s">
        <v>129</v>
      </c>
      <c r="P109" s="21"/>
      <c r="Q109" s="25" t="s">
        <v>423</v>
      </c>
      <c r="R109" s="22"/>
    </row>
    <row r="110" spans="1:19" ht="39.75" customHeight="1">
      <c r="A110" s="3">
        <f t="shared" si="11"/>
        <v>96</v>
      </c>
      <c r="B110" s="106">
        <f t="shared" si="12"/>
        <v>6</v>
      </c>
      <c r="C110" s="27" t="s">
        <v>126</v>
      </c>
      <c r="D110" s="27" t="s">
        <v>15</v>
      </c>
      <c r="E110" s="62" t="s">
        <v>54</v>
      </c>
      <c r="F110" s="62" t="s">
        <v>140</v>
      </c>
      <c r="G110" s="126" t="s">
        <v>498</v>
      </c>
      <c r="H110" s="27" t="s">
        <v>141</v>
      </c>
      <c r="I110" s="91" t="s">
        <v>168</v>
      </c>
      <c r="J110" s="91"/>
      <c r="K110" s="22" t="s">
        <v>152</v>
      </c>
      <c r="L110" s="27"/>
      <c r="M110" s="64">
        <v>98306892</v>
      </c>
      <c r="N110" s="27"/>
      <c r="O110" s="27" t="s">
        <v>129</v>
      </c>
      <c r="P110" s="27"/>
      <c r="Q110" s="25"/>
      <c r="R110" s="27"/>
      <c r="S110" s="10"/>
    </row>
    <row r="111" spans="1:19" ht="39.75" customHeight="1" thickBot="1">
      <c r="A111" s="3">
        <f t="shared" si="11"/>
        <v>97</v>
      </c>
      <c r="B111" s="113">
        <f t="shared" si="12"/>
        <v>7</v>
      </c>
      <c r="C111" s="114" t="s">
        <v>126</v>
      </c>
      <c r="D111" s="114" t="s">
        <v>15</v>
      </c>
      <c r="E111" s="115" t="s">
        <v>54</v>
      </c>
      <c r="F111" s="62" t="s">
        <v>270</v>
      </c>
      <c r="G111" s="126" t="s">
        <v>499</v>
      </c>
      <c r="H111" s="116" t="s">
        <v>271</v>
      </c>
      <c r="I111" s="117" t="s">
        <v>212</v>
      </c>
      <c r="J111" s="118" t="s">
        <v>343</v>
      </c>
      <c r="K111" s="117" t="s">
        <v>223</v>
      </c>
      <c r="L111" s="117">
        <v>71577413</v>
      </c>
      <c r="M111" s="117">
        <v>52561860</v>
      </c>
      <c r="N111" s="117">
        <v>71565623</v>
      </c>
      <c r="O111" s="114" t="s">
        <v>129</v>
      </c>
      <c r="P111" s="116"/>
      <c r="Q111" s="25" t="s">
        <v>272</v>
      </c>
      <c r="R111" s="116"/>
    </row>
    <row r="112" spans="1:19" s="12" customFormat="1" ht="39.75" customHeight="1" thickBot="1">
      <c r="A112" s="12">
        <f t="shared" si="11"/>
        <v>98</v>
      </c>
      <c r="B112" s="150">
        <f t="shared" si="12"/>
        <v>8</v>
      </c>
      <c r="C112" s="151" t="s">
        <v>126</v>
      </c>
      <c r="D112" s="134" t="s">
        <v>15</v>
      </c>
      <c r="E112" s="20" t="s">
        <v>54</v>
      </c>
      <c r="F112" s="119" t="s">
        <v>194</v>
      </c>
      <c r="G112" s="126" t="s">
        <v>500</v>
      </c>
      <c r="H112" s="151" t="s">
        <v>527</v>
      </c>
      <c r="I112" s="119" t="s">
        <v>195</v>
      </c>
      <c r="J112" s="28"/>
      <c r="K112" s="20" t="s">
        <v>219</v>
      </c>
      <c r="L112" s="119">
        <v>71565404</v>
      </c>
      <c r="M112" s="119">
        <v>98250703</v>
      </c>
      <c r="N112" s="119">
        <v>71565404</v>
      </c>
      <c r="O112" s="20" t="s">
        <v>129</v>
      </c>
      <c r="P112" s="152"/>
      <c r="Q112" s="25" t="s">
        <v>560</v>
      </c>
      <c r="R112" s="25"/>
    </row>
    <row r="113" spans="1:19" s="12" customFormat="1" ht="39.75" customHeight="1" thickBot="1">
      <c r="A113" s="12">
        <f t="shared" si="11"/>
        <v>99</v>
      </c>
      <c r="B113" s="23">
        <f>B112+1</f>
        <v>9</v>
      </c>
      <c r="C113" s="20" t="s">
        <v>126</v>
      </c>
      <c r="D113" s="132" t="s">
        <v>143</v>
      </c>
      <c r="E113" s="20" t="s">
        <v>54</v>
      </c>
      <c r="F113" s="119" t="s">
        <v>544</v>
      </c>
      <c r="G113" s="126" t="s">
        <v>546</v>
      </c>
      <c r="H113" s="151" t="s">
        <v>540</v>
      </c>
      <c r="I113" s="119" t="s">
        <v>413</v>
      </c>
      <c r="J113" s="31" t="s">
        <v>401</v>
      </c>
      <c r="K113" s="121" t="s">
        <v>530</v>
      </c>
      <c r="L113" s="119" t="s">
        <v>193</v>
      </c>
      <c r="M113" s="153">
        <v>98384134</v>
      </c>
      <c r="N113" s="119">
        <v>71569467</v>
      </c>
      <c r="O113" s="119" t="s">
        <v>129</v>
      </c>
      <c r="P113" s="142"/>
      <c r="Q113" s="25" t="s">
        <v>545</v>
      </c>
      <c r="R113" s="8"/>
      <c r="S113" s="8"/>
    </row>
    <row r="114" spans="1:19" ht="39.75" customHeight="1">
      <c r="Q114" s="25"/>
    </row>
  </sheetData>
  <sheetProtection selectLockedCells="1" selectUnlockedCells="1"/>
  <mergeCells count="3">
    <mergeCell ref="L1:N1"/>
    <mergeCell ref="L2:N2"/>
    <mergeCell ref="R94:R102"/>
  </mergeCells>
  <hyperlinks>
    <hyperlink ref="P6" r:id="rId1" xr:uid="{00000000-0004-0000-0000-000000000000}"/>
    <hyperlink ref="P8" r:id="rId2" xr:uid="{00000000-0004-0000-0000-000001000000}"/>
    <hyperlink ref="P9" r:id="rId3" xr:uid="{00000000-0004-0000-0000-000002000000}"/>
    <hyperlink ref="P10" r:id="rId4" xr:uid="{00000000-0004-0000-0000-000003000000}"/>
    <hyperlink ref="K11" r:id="rId5" xr:uid="{00000000-0004-0000-0000-000004000000}"/>
    <hyperlink ref="P11" r:id="rId6" xr:uid="{00000000-0004-0000-0000-000005000000}"/>
    <hyperlink ref="P12" r:id="rId7" xr:uid="{00000000-0004-0000-0000-000006000000}"/>
    <hyperlink ref="P13" r:id="rId8" xr:uid="{00000000-0004-0000-0000-000007000000}"/>
    <hyperlink ref="P15" r:id="rId9" xr:uid="{00000000-0004-0000-0000-000008000000}"/>
    <hyperlink ref="P23" r:id="rId10" xr:uid="{00000000-0004-0000-0000-000009000000}"/>
    <hyperlink ref="K36" r:id="rId11" display="safouane.benaissa@univmed.fr ; " xr:uid="{00000000-0004-0000-0000-00000A000000}"/>
    <hyperlink ref="K34" r:id="rId12" display="benrached.kaouther@yahoo.fr ; " xr:uid="{00000000-0004-0000-0000-00000B000000}"/>
    <hyperlink ref="K25" r:id="rId13" xr:uid="{00000000-0004-0000-0000-00000C000000}"/>
    <hyperlink ref="K17" r:id="rId14" display="safia.belghith@enit.rnu.tn_x000a_;safya.belghith@enit.utm.tn" xr:uid="{00000000-0004-0000-0000-00000D000000}"/>
    <hyperlink ref="K89" r:id="rId15" display="ezzeddine.zagrouba@fsm.rnu.tn;e.zagrouba@gmail.com" xr:uid="{00000000-0004-0000-0000-00000E000000}"/>
    <hyperlink ref="K64" r:id="rId16" xr:uid="{00000000-0004-0000-0000-00000F000000}"/>
    <hyperlink ref="K65" r:id="rId17" xr:uid="{00000000-0004-0000-0000-000010000000}"/>
    <hyperlink ref="K23" r:id="rId18" display="sami.bostanji@fdspt.utm.tn;s.bostanji@gmail.com" xr:uid="{00000000-0004-0000-0000-000011000000}"/>
    <hyperlink ref="K33" r:id="rId19" xr:uid="{00000000-0004-0000-0000-000012000000}"/>
    <hyperlink ref="K86" r:id="rId20" display="mohsen.elkhouni@issht.utm.tn" xr:uid="{00000000-0004-0000-0000-000013000000}"/>
    <hyperlink ref="K63" r:id="rId21" display="mohamedfaouzi.zid@fst.rnu.tn" xr:uid="{00000000-0004-0000-0000-000014000000}"/>
    <hyperlink ref="K15" r:id="rId22" xr:uid="{00000000-0004-0000-0000-000015000000}"/>
    <hyperlink ref="K24" r:id="rId23" xr:uid="{00000000-0004-0000-0000-000016000000}"/>
    <hyperlink ref="K12" r:id="rId24" display="lachiri.z@gmail," xr:uid="{00000000-0004-0000-0000-000017000000}"/>
    <hyperlink ref="K47" r:id="rId25" display="najeh.mliki@fst.utm.tn;naji.thabet@gmail.com" xr:uid="{00000000-0004-0000-0000-000018000000}"/>
    <hyperlink ref="K57" r:id="rId26" display="amel.benfredj@fst.rnu.tn ;amel.benfredj@gmail.com" xr:uid="{00000000-0004-0000-0000-000019000000}"/>
    <hyperlink ref="K59" r:id="rId27" xr:uid="{00000000-0004-0000-0000-00001A000000}"/>
    <hyperlink ref="K72" r:id="rId28" display="mailto:lakhdartannech.rachdi@fst.rnu.tn" xr:uid="{00000000-0004-0000-0000-00001B000000}"/>
    <hyperlink ref="K91" r:id="rId29" xr:uid="{00000000-0004-0000-0000-00001C000000}"/>
    <hyperlink ref="K46" r:id="rId30" xr:uid="{00000000-0004-0000-0000-00001D000000}"/>
    <hyperlink ref="K75" r:id="rId31" xr:uid="{00000000-0004-0000-0000-00001E000000}"/>
    <hyperlink ref="K54" r:id="rId32" xr:uid="{00000000-0004-0000-0000-00001F000000}"/>
    <hyperlink ref="K69" r:id="rId33" xr:uid="{00000000-0004-0000-0000-000020000000}"/>
    <hyperlink ref="K74" r:id="rId34" xr:uid="{00000000-0004-0000-0000-000021000000}"/>
    <hyperlink ref="K32" r:id="rId35" xr:uid="{00000000-0004-0000-0000-000022000000}"/>
    <hyperlink ref="K35" r:id="rId36" xr:uid="{00000000-0004-0000-0000-000023000000}"/>
    <hyperlink ref="K27" r:id="rId37" xr:uid="{00000000-0004-0000-0000-000024000000}"/>
    <hyperlink ref="K67" r:id="rId38" xr:uid="{00000000-0004-0000-0000-000025000000}"/>
    <hyperlink ref="K68" r:id="rId39" xr:uid="{00000000-0004-0000-0000-000026000000}"/>
    <hyperlink ref="K52" r:id="rId40" xr:uid="{00000000-0004-0000-0000-000027000000}"/>
    <hyperlink ref="K9" r:id="rId41" xr:uid="{00000000-0004-0000-0000-000028000000}"/>
    <hyperlink ref="K18" r:id="rId42" xr:uid="{00000000-0004-0000-0000-000029000000}"/>
    <hyperlink ref="K38" r:id="rId43" display="mailto:samia.zouaoui@fsegt.utm.tn" xr:uid="{00000000-0004-0000-0000-00002A000000}"/>
    <hyperlink ref="K26" r:id="rId44" xr:uid="{00000000-0004-0000-0000-00002B000000}"/>
    <hyperlink ref="K21" r:id="rId45" xr:uid="{00000000-0004-0000-0000-00002C000000}"/>
    <hyperlink ref="K56" r:id="rId46" xr:uid="{00000000-0004-0000-0000-00002D000000}"/>
    <hyperlink ref="K43" r:id="rId47" xr:uid="{00000000-0004-0000-0000-00002E000000}"/>
    <hyperlink ref="K73" r:id="rId48" xr:uid="{00000000-0004-0000-0000-00002F000000}"/>
    <hyperlink ref="K16" r:id="rId49" xr:uid="{00000000-0004-0000-0000-000030000000}"/>
    <hyperlink ref="K61" r:id="rId50" display="hella.kaffel@fst.utm.tn" xr:uid="{00000000-0004-0000-0000-000031000000}"/>
    <hyperlink ref="K82" r:id="rId51" xr:uid="{00000000-0004-0000-0000-000032000000}"/>
    <hyperlink ref="K60" r:id="rId52" xr:uid="{00000000-0004-0000-0000-000033000000}"/>
    <hyperlink ref="K6" r:id="rId53" xr:uid="{00000000-0004-0000-0000-000034000000}"/>
    <hyperlink ref="K40" r:id="rId54" xr:uid="{00000000-0004-0000-0000-000035000000}"/>
    <hyperlink ref="K112" r:id="rId55" xr:uid="{00000000-0004-0000-0000-000036000000}"/>
    <hyperlink ref="K19" r:id="rId56" xr:uid="{00000000-0004-0000-0000-000037000000}"/>
    <hyperlink ref="K113" r:id="rId57" xr:uid="{00000000-0004-0000-0000-000038000000}"/>
    <hyperlink ref="K28" r:id="rId58" xr:uid="{00000000-0004-0000-0000-000039000000}"/>
    <hyperlink ref="P14" r:id="rId59" xr:uid="{00000000-0004-0000-0000-00003A000000}"/>
    <hyperlink ref="K105" r:id="rId60" xr:uid="{00000000-0004-0000-0000-00003B000000}"/>
    <hyperlink ref="K109" r:id="rId61" xr:uid="{00000000-0004-0000-0000-00003C000000}"/>
    <hyperlink ref="K108" r:id="rId62" xr:uid="{00000000-0004-0000-0000-00003D000000}"/>
    <hyperlink ref="K107" r:id="rId63" xr:uid="{00000000-0004-0000-0000-00003E000000}"/>
    <hyperlink ref="K10" r:id="rId64" xr:uid="{00000000-0004-0000-0000-00003F000000}"/>
    <hyperlink ref="K14" r:id="rId65" xr:uid="{00000000-0004-0000-0000-000040000000}"/>
    <hyperlink ref="K42" r:id="rId66" xr:uid="{00000000-0004-0000-0000-000041000000}"/>
    <hyperlink ref="K55" r:id="rId67" xr:uid="{00000000-0004-0000-0000-000042000000}"/>
    <hyperlink ref="K83" r:id="rId68" xr:uid="{00000000-0004-0000-0000-000043000000}"/>
    <hyperlink ref="K87" r:id="rId69" xr:uid="{00000000-0004-0000-0000-000044000000}"/>
    <hyperlink ref="K106" r:id="rId70" xr:uid="{00000000-0004-0000-0000-000045000000}"/>
    <hyperlink ref="K95" r:id="rId71" xr:uid="{00000000-0004-0000-0000-000046000000}"/>
    <hyperlink ref="K98" r:id="rId72" xr:uid="{00000000-0004-0000-0000-000047000000}"/>
    <hyperlink ref="K99" r:id="rId73" xr:uid="{00000000-0004-0000-0000-000048000000}"/>
    <hyperlink ref="K103" r:id="rId74" xr:uid="{00000000-0004-0000-0000-000049000000}"/>
    <hyperlink ref="K101" r:id="rId75" xr:uid="{00000000-0004-0000-0000-00004A000000}"/>
    <hyperlink ref="P94" r:id="rId76" xr:uid="{00000000-0004-0000-0000-00004B000000}"/>
    <hyperlink ref="P95" r:id="rId77" xr:uid="{00000000-0004-0000-0000-00004C000000}"/>
    <hyperlink ref="P96" r:id="rId78" xr:uid="{00000000-0004-0000-0000-00004D000000}"/>
    <hyperlink ref="P97" r:id="rId79" xr:uid="{00000000-0004-0000-0000-00004E000000}"/>
    <hyperlink ref="P98" r:id="rId80" xr:uid="{00000000-0004-0000-0000-00004F000000}"/>
    <hyperlink ref="P99" r:id="rId81" xr:uid="{00000000-0004-0000-0000-000050000000}"/>
    <hyperlink ref="P100" r:id="rId82" xr:uid="{00000000-0004-0000-0000-000051000000}"/>
    <hyperlink ref="P101" r:id="rId83" xr:uid="{00000000-0004-0000-0000-000052000000}"/>
    <hyperlink ref="P102" r:id="rId84" xr:uid="{00000000-0004-0000-0000-000053000000}"/>
    <hyperlink ref="P103" r:id="rId85" xr:uid="{00000000-0004-0000-0000-000054000000}"/>
  </hyperlinks>
  <pageMargins left="0.39370078740157483" right="0.39370078740157483" top="0.6692913385826772" bottom="0.6692913385826772" header="0.39370078740157483" footer="0.39370078740157483"/>
  <pageSetup paperSize="8" scale="85" firstPageNumber="0" orientation="landscape" horizontalDpi="300" verticalDpi="300" r:id="rId86"/>
  <headerFooter alignWithMargins="0">
    <oddHeader>&amp;C&amp;"Times New Roman,Normal"&amp;12&amp;A</oddHeader>
    <oddFooter>&amp;C&amp;"Times New Roman,Normal"&amp;12Page &amp;P</oddFooter>
  </headerFooter>
  <colBreaks count="1" manualBreakCount="1">
    <brk id="11" max="112" man="1"/>
  </colBreaks>
  <ignoredErrors>
    <ignoredError sqref="A3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Laboratoires_de_Recherche</vt:lpstr>
      <vt:lpstr>Laboratoires_de_Recherche!Impression_des_titres</vt:lpstr>
      <vt:lpstr>Laboratoires_de_Recherche!Zone_d_impression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lobna zakraoui</dc:creator>
  <cp:lastModifiedBy>Admin</cp:lastModifiedBy>
  <cp:lastPrinted>2024-12-19T14:09:10Z</cp:lastPrinted>
  <dcterms:created xsi:type="dcterms:W3CDTF">2016-05-12T13:55:54Z</dcterms:created>
  <dcterms:modified xsi:type="dcterms:W3CDTF">2025-10-01T13:03:33Z</dcterms:modified>
</cp:coreProperties>
</file>